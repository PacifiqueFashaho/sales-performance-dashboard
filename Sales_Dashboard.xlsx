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D:\sales-dashboard-project\"/>
    </mc:Choice>
  </mc:AlternateContent>
  <xr:revisionPtr revIDLastSave="0" documentId="8_{DE34578B-42EA-481E-980A-6ED330AC6D66}" xr6:coauthVersionLast="47" xr6:coauthVersionMax="47" xr10:uidLastSave="{00000000-0000-0000-0000-000000000000}"/>
  <bookViews>
    <workbookView xWindow="-110" yWindow="-110" windowWidth="19420" windowHeight="10300" xr2:uid="{E0CB1470-4CD9-4811-B1CE-3315EA5A6BC8}"/>
  </bookViews>
  <sheets>
    <sheet name="sales_data" sheetId="1" r:id="rId1"/>
    <sheet name="Monthly Revenue" sheetId="2" r:id="rId2"/>
    <sheet name="Monthly Profit" sheetId="3" r:id="rId3"/>
    <sheet name="Top Products" sheetId="4" r:id="rId4"/>
    <sheet name="Dashboard" sheetId="5" r:id="rId5"/>
  </sheets>
  <definedNames>
    <definedName name="Slicer_Category">#N/A</definedName>
    <definedName name="Slicer_Month">#N/A</definedName>
    <definedName name="Slicer_Product">#N/A</definedName>
  </definedNames>
  <calcPr calcId="0"/>
  <pivotCaches>
    <pivotCache cacheId="1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3" i="1"/>
  <c r="H4" i="1"/>
  <c r="H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I2" i="1"/>
  <c r="G2" i="1"/>
</calcChain>
</file>

<file path=xl/sharedStrings.xml><?xml version="1.0" encoding="utf-8"?>
<sst xmlns="http://schemas.openxmlformats.org/spreadsheetml/2006/main" count="148" uniqueCount="26">
  <si>
    <t>Date</t>
  </si>
  <si>
    <t>Product</t>
  </si>
  <si>
    <t>Category</t>
  </si>
  <si>
    <t>Quantity</t>
  </si>
  <si>
    <t>Price</t>
  </si>
  <si>
    <t>Cost</t>
  </si>
  <si>
    <t>Laptop</t>
  </si>
  <si>
    <t>Tech</t>
  </si>
  <si>
    <t>Phone</t>
  </si>
  <si>
    <t>Printer</t>
  </si>
  <si>
    <t>Office</t>
  </si>
  <si>
    <t>Monitor</t>
  </si>
  <si>
    <t>Desk</t>
  </si>
  <si>
    <t>Chair</t>
  </si>
  <si>
    <t>Tablet</t>
  </si>
  <si>
    <t>Mouse</t>
  </si>
  <si>
    <t>Keyboard</t>
  </si>
  <si>
    <t>Router</t>
  </si>
  <si>
    <t>Revenue</t>
  </si>
  <si>
    <t>Profit</t>
  </si>
  <si>
    <t>Month</t>
  </si>
  <si>
    <t>Sum of Profit</t>
  </si>
  <si>
    <t>Sum of Revenue</t>
  </si>
  <si>
    <t>Row Labels</t>
  </si>
  <si>
    <t>Grand Total</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</si>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</sst>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NumberFormat="1"/>
    <xf numFmtId="0" fontId="0" fillId="0" borderId="0" xfId="0" pivotButton="1"/>
    <xf numFmtId="0" fontId="0" fillId="0" borderId="0" xfId="0" applyAlignment="1">
      <alignment horizontal="left"/>
    </xf>
    <xf numFmtId="0" fontId="16" fillId="0" borderId="0" xfId="0" applyFont="1" applyAlignment="1">
      <alignment horizontal="center" vertical="center" wrapText="1"/>
    </xf>
    <xf numFmtId="9" fontId="0" fillId="0" borderId="0" xfId="1" applyFont="1"/>
    <xf numFmtId="9" fontId="16" fillId="0" borderId="0" xfId="1" applyFont="1" applyAlignment="1">
      <alignment horizontal="center" vertical="center" wrapText="1"/>
    </xf>
    <xf numFmtId="0" fontId="16" fillId="33" borderId="0" xfId="0" applyFont="1" applyFill="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
    <dxf>
      <font>
        <b/>
      </font>
      <fill>
        <patternFill patternType="solid">
          <fgColor indexed="64"/>
          <bgColor theme="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[sales_data.xlsx]Top Products!PivotTable3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Products by Sales Volume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81687899342996"/>
          <c:y val="0.16413297012049752"/>
          <c:w val="0.72462094211907724"/>
          <c:h val="0.76424652158343753"/>
        </c:manualLayout>
      </c:layout>
      <c:barChart>
        <c:barDir val="bar"/>
        <c:grouping val="clustered"/>
        <c:varyColors val="0"/>
        <c:ser>
          <c:idx val="0"/>
          <c:order val="0"/>
          <c:tx>
            <c:strRef>
              <c:f>'Top Products'!$B$3</c:f>
              <c:strCache>
                <c:ptCount val="1"/>
                <c:pt idx="0">
                  <c:v>Total</c:v>
                </c:pt>
              </c:strCache>
            </c:strRef>
          </c:tx>
          <c:spPr>
            <a:solidFill>
              <a:schemeClr val="accent1"/>
            </a:solidFill>
            <a:ln>
              <a:noFill/>
            </a:ln>
            <a:effectLst/>
          </c:spPr>
          <c:invertIfNegative val="0"/>
          <c:cat>
            <c:strRef>
              <c:f>'Top Products'!$A$4:$A$14</c:f>
              <c:strCache>
                <c:ptCount val="10"/>
                <c:pt idx="0">
                  <c:v>Printer</c:v>
                </c:pt>
                <c:pt idx="1">
                  <c:v>Desk</c:v>
                </c:pt>
                <c:pt idx="2">
                  <c:v>Laptop</c:v>
                </c:pt>
                <c:pt idx="3">
                  <c:v>Tablet</c:v>
                </c:pt>
                <c:pt idx="4">
                  <c:v>Router</c:v>
                </c:pt>
                <c:pt idx="5">
                  <c:v>Monitor</c:v>
                </c:pt>
                <c:pt idx="6">
                  <c:v>Phone</c:v>
                </c:pt>
                <c:pt idx="7">
                  <c:v>Chair</c:v>
                </c:pt>
                <c:pt idx="8">
                  <c:v>Keyboard</c:v>
                </c:pt>
                <c:pt idx="9">
                  <c:v>Mouse</c:v>
                </c:pt>
              </c:strCache>
            </c:strRef>
          </c:cat>
          <c:val>
            <c:numRef>
              <c:f>'Top Products'!$B$4:$B$14</c:f>
              <c:numCache>
                <c:formatCode>General</c:formatCode>
                <c:ptCount val="10"/>
                <c:pt idx="0">
                  <c:v>8</c:v>
                </c:pt>
                <c:pt idx="1">
                  <c:v>9</c:v>
                </c:pt>
                <c:pt idx="2">
                  <c:v>11</c:v>
                </c:pt>
                <c:pt idx="3">
                  <c:v>15</c:v>
                </c:pt>
                <c:pt idx="4">
                  <c:v>17</c:v>
                </c:pt>
                <c:pt idx="5">
                  <c:v>19</c:v>
                </c:pt>
                <c:pt idx="6">
                  <c:v>21</c:v>
                </c:pt>
                <c:pt idx="7">
                  <c:v>23</c:v>
                </c:pt>
                <c:pt idx="8">
                  <c:v>41</c:v>
                </c:pt>
                <c:pt idx="9">
                  <c:v>56</c:v>
                </c:pt>
              </c:numCache>
            </c:numRef>
          </c:val>
          <c:extLst>
            <c:ext xmlns:c16="http://schemas.microsoft.com/office/drawing/2014/chart" uri="{C3380CC4-5D6E-409C-BE32-E72D297353CC}">
              <c16:uniqueId val="{00000000-7CF4-4224-BC96-1EA18A3847AF}"/>
            </c:ext>
          </c:extLst>
        </c:ser>
        <c:dLbls>
          <c:showLegendKey val="0"/>
          <c:showVal val="0"/>
          <c:showCatName val="0"/>
          <c:showSerName val="0"/>
          <c:showPercent val="0"/>
          <c:showBubbleSize val="0"/>
        </c:dLbls>
        <c:gapWidth val="182"/>
        <c:axId val="1791950032"/>
        <c:axId val="1791950992"/>
      </c:barChart>
      <c:catAx>
        <c:axId val="1791950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950992"/>
        <c:crosses val="autoZero"/>
        <c:auto val="1"/>
        <c:lblAlgn val="ctr"/>
        <c:lblOffset val="100"/>
        <c:noMultiLvlLbl val="0"/>
      </c:catAx>
      <c:valAx>
        <c:axId val="1791950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950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[sales_data.xlsx]Monthly Revenue!PivotTable1</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'Monthly Revenue'!$B$3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Revenue'!$A$4:$A$10</c:f>
              <c:strCache>
                <c:ptCount val="6"/>
                <c:pt idx="0">
                  <c:v>1</c:v>
                </c:pt>
                <c:pt idx="1">
                  <c:v>2</c:v>
                </c:pt>
                <c:pt idx="2">
                  <c:v>3</c:v>
                </c:pt>
                <c:pt idx="3">
                  <c:v>4</c:v>
                </c:pt>
                <c:pt idx="4">
                  <c:v>5</c:v>
                </c:pt>
                <c:pt idx="5">
                  <c:v>6</c:v>
                </c:pt>
              </c:strCache>
            </c:strRef>
          </c:cat>
          <c:val>
            <c:numRef>
              <c:f>'Monthly Revenue'!$B$4:$B$10</c:f>
              <c:numCache>
                <c:formatCode>General</c:formatCode>
                <c:ptCount val="6"/>
                <c:pt idx="0">
                  <c:v>6680</c:v>
                </c:pt>
                <c:pt idx="1">
                  <c:v>6650</c:v>
                </c:pt>
                <c:pt idx="2">
                  <c:v>7830</c:v>
                </c:pt>
                <c:pt idx="3">
                  <c:v>8020</c:v>
                </c:pt>
                <c:pt idx="4">
                  <c:v>8150</c:v>
                </c:pt>
                <c:pt idx="5">
                  <c:v>8984</c:v>
                </c:pt>
              </c:numCache>
            </c:numRef>
          </c:val>
          <c:smooth val="0"/>
          <c:extLst>
            <c:ext xmlns:c16="http://schemas.microsoft.com/office/drawing/2014/chart" uri="{C3380CC4-5D6E-409C-BE32-E72D297353CC}">
              <c16:uniqueId val="{00000002-8AEB-4DFC-8BFE-9B12EAB0806C}"/>
            </c:ext>
          </c:extLst>
        </c:ser>
        <c:dLbls>
          <c:showLegendKey val="0"/>
          <c:showVal val="0"/>
          <c:showCatName val="0"/>
          <c:showSerName val="0"/>
          <c:showPercent val="0"/>
          <c:showBubbleSize val="0"/>
        </c:dLbls>
        <c:marker val="1"/>
        <c:smooth val="0"/>
        <c:axId val="1636186608"/>
        <c:axId val="1636187568"/>
      </c:lineChart>
      <c:catAx>
        <c:axId val="163618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187568"/>
        <c:crosses val="autoZero"/>
        <c:auto val="1"/>
        <c:lblAlgn val="ctr"/>
        <c:lblOffset val="100"/>
        <c:noMultiLvlLbl val="0"/>
      </c:catAx>
      <c:valAx>
        <c:axId val="1636187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18660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[sales_data.xlsx]Monthly Profit!PivotTable2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'Monthly Profit'!$B$3</c:f>
              <c:strCache>
                <c:ptCount val="1"/>
                <c:pt idx="0">
                  <c:v>Total</c:v>
                </c:pt>
              </c:strCache>
            </c:strRef>
          </c:tx>
          <c:spPr>
            <a:solidFill>
              <a:schemeClr val="accent1"/>
            </a:solidFill>
            <a:ln>
              <a:noFill/>
            </a:ln>
            <a:effectLst/>
          </c:spPr>
          <c:invertIfNegative val="0"/>
          <c:cat>
            <c:strRef>
              <c:f>'Monthly Profit'!$A$4:$A$10</c:f>
              <c:strCache>
                <c:ptCount val="6"/>
                <c:pt idx="0">
                  <c:v>1</c:v>
                </c:pt>
                <c:pt idx="1">
                  <c:v>2</c:v>
                </c:pt>
                <c:pt idx="2">
                  <c:v>3</c:v>
                </c:pt>
                <c:pt idx="3">
                  <c:v>4</c:v>
                </c:pt>
                <c:pt idx="4">
                  <c:v>5</c:v>
                </c:pt>
                <c:pt idx="5">
                  <c:v>6</c:v>
                </c:pt>
              </c:strCache>
            </c:strRef>
          </c:cat>
          <c:val>
            <c:numRef>
              <c:f>'Monthly Profit'!$B$4:$B$10</c:f>
              <c:numCache>
                <c:formatCode>General</c:formatCode>
                <c:ptCount val="6"/>
                <c:pt idx="0">
                  <c:v>2110</c:v>
                </c:pt>
                <c:pt idx="1">
                  <c:v>2167</c:v>
                </c:pt>
                <c:pt idx="2">
                  <c:v>2484</c:v>
                </c:pt>
                <c:pt idx="3">
                  <c:v>2622</c:v>
                </c:pt>
                <c:pt idx="4">
                  <c:v>2741</c:v>
                </c:pt>
                <c:pt idx="5">
                  <c:v>2917</c:v>
                </c:pt>
              </c:numCache>
            </c:numRef>
          </c:val>
          <c:extLst>
            <c:ext xmlns:c16="http://schemas.microsoft.com/office/drawing/2014/chart" uri="{C3380CC4-5D6E-409C-BE32-E72D297353CC}">
              <c16:uniqueId val="{00000000-FA56-4892-BD57-9AF9369948E9}"/>
            </c:ext>
          </c:extLst>
        </c:ser>
        <c:dLbls>
          <c:showLegendKey val="0"/>
          <c:showVal val="0"/>
          <c:showCatName val="0"/>
          <c:showSerName val="0"/>
          <c:showPercent val="0"/>
          <c:showBubbleSize val="0"/>
        </c:dLbls>
        <c:gapWidth val="150"/>
        <c:overlap val="100"/>
        <c:axId val="1636156848"/>
        <c:axId val="1636157808"/>
      </c:barChart>
      <c:catAx>
        <c:axId val="1636156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157808"/>
        <c:crosses val="autoZero"/>
        <c:auto val="1"/>
        <c:lblAlgn val="ctr"/>
        <c:lblOffset val="100"/>
        <c:noMultiLvlLbl val="0"/>
      </c:catAx>
      <c:valAx>
        <c:axId val="1636157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156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181428</xdr:colOff>
      <xdr:row>22</xdr:row>
      <xdr:rowOff>90713</xdr:rowOff>
    </xdr:from>
    <xdr:to>
      <xdr:col>9</xdr:col>
      <xdr:colOff>172358</xdr:colOff>
      <xdr:row>42</xdr:row>
      <xdr:rowOff>108856</xdr:rowOff>
    </xdr:to>
    <xdr:graphicFrame macro="">
      <xdr:nvGraphicFramePr>
        <xdr:cNvPr id="4" name="Chart 3">
          <a:extLst>
            <a:ext uri="{FF2B5EF4-FFF2-40B4-BE49-F238E27FC236}">
              <a16:creationId xmlns:a16="http://schemas.microsoft.com/office/drawing/2014/main" id="{22A0FC1F-4C4F-408D-AABE-80804DFCF9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381000</xdr:colOff>
      <xdr:row>1</xdr:row>
      <xdr:rowOff>45357</xdr:rowOff>
    </xdr:from>
    <xdr:to>
      <xdr:col>9</xdr:col>
      <xdr:colOff>308429</xdr:colOff>
      <xdr:row>20</xdr:row>
      <xdr:rowOff>117929</xdr:rowOff>
    </xdr:to>
    <xdr:graphicFrame macro="">
      <xdr:nvGraphicFramePr>
        <xdr:cNvPr id="8" name="Chart 7">
          <a:extLst>
            <a:ext uri="{FF2B5EF4-FFF2-40B4-BE49-F238E27FC236}">
              <a16:creationId xmlns:a16="http://schemas.microsoft.com/office/drawing/2014/main" id="{D38BE45F-4639-438E-99B8-3FE399FACC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108856</xdr:colOff>
      <xdr:row>1</xdr:row>
      <xdr:rowOff>36284</xdr:rowOff>
    </xdr:from>
    <xdr:to>
      <xdr:col>19</xdr:col>
      <xdr:colOff>498927</xdr:colOff>
      <xdr:row>20</xdr:row>
      <xdr:rowOff>108857</xdr:rowOff>
    </xdr:to>
    <xdr:graphicFrame macro="">
      <xdr:nvGraphicFramePr>
        <xdr:cNvPr id="9" name="Chart 8">
          <a:extLst>
            <a:ext uri="{FF2B5EF4-FFF2-40B4-BE49-F238E27FC236}">
              <a16:creationId xmlns:a16="http://schemas.microsoft.com/office/drawing/2014/main" id="{7A7FDEB3-A1DA-4D4B-8EBE-93BF8C023B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163286</xdr:colOff>
      <xdr:row>25</xdr:row>
      <xdr:rowOff>16329</xdr:rowOff>
    </xdr:from>
    <xdr:to>
      <xdr:col>13</xdr:col>
      <xdr:colOff>168729</xdr:colOff>
      <xdr:row>39</xdr:row>
      <xdr:rowOff>95701</xdr:rowOff>
    </xdr:to>
    <mc:AlternateContent xmlns:mc="http://schemas.openxmlformats.org/markup-compatibility/2006">
      <mc:Choice xmlns:a14="http://schemas.microsoft.com/office/drawing/2010/main" Requires="a14">
        <xdr:graphicFrame macro="">
          <xdr:nvGraphicFramePr>
            <xdr:cNvPr id="10" name="Product">
              <a:extLst>
                <a:ext uri="{FF2B5EF4-FFF2-40B4-BE49-F238E27FC236}">
                  <a16:creationId xmlns:a16="http://schemas.microsoft.com/office/drawing/2014/main" id="{775126C4-88E0-439C-81FC-96959602DE9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6282377" y="4634511"/>
              <a:ext cx="1841170" cy="26655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378279</xdr:colOff>
      <xdr:row>24</xdr:row>
      <xdr:rowOff>178707</xdr:rowOff>
    </xdr:from>
    <xdr:to>
      <xdr:col>16</xdr:col>
      <xdr:colOff>383722</xdr:colOff>
      <xdr:row>39</xdr:row>
      <xdr:rowOff>76651</xdr:rowOff>
    </xdr:to>
    <mc:AlternateContent xmlns:mc="http://schemas.openxmlformats.org/markup-compatibility/2006">
      <mc:Choice xmlns:a14="http://schemas.microsoft.com/office/drawing/2010/main" Requires="a14">
        <xdr:graphicFrame macro="">
          <xdr:nvGraphicFramePr>
            <xdr:cNvPr id="11" name="Category">
              <a:extLst>
                <a:ext uri="{FF2B5EF4-FFF2-40B4-BE49-F238E27FC236}">
                  <a16:creationId xmlns:a16="http://schemas.microsoft.com/office/drawing/2014/main" id="{14C2A2E0-3F5A-46DA-ADA8-97F41A27402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333097" y="4612162"/>
              <a:ext cx="1841170" cy="26688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555172</xdr:colOff>
      <xdr:row>24</xdr:row>
      <xdr:rowOff>172357</xdr:rowOff>
    </xdr:from>
    <xdr:to>
      <xdr:col>19</xdr:col>
      <xdr:colOff>560614</xdr:colOff>
      <xdr:row>39</xdr:row>
      <xdr:rowOff>70301</xdr:rowOff>
    </xdr:to>
    <mc:AlternateContent xmlns:mc="http://schemas.openxmlformats.org/markup-compatibility/2006">
      <mc:Choice xmlns:a14="http://schemas.microsoft.com/office/drawing/2010/main" Requires="a14">
        <xdr:graphicFrame macro="">
          <xdr:nvGraphicFramePr>
            <xdr:cNvPr id="12" name="Month">
              <a:extLst>
                <a:ext uri="{FF2B5EF4-FFF2-40B4-BE49-F238E27FC236}">
                  <a16:creationId xmlns:a16="http://schemas.microsoft.com/office/drawing/2014/main" id="{60C702EB-6168-4DBD-8CB3-6C6174817CD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0345717" y="4605812"/>
              <a:ext cx="1841170" cy="26688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99787</xdr:colOff>
      <xdr:row>49</xdr:row>
      <xdr:rowOff>136072</xdr:rowOff>
    </xdr:from>
    <xdr:to>
      <xdr:col>7</xdr:col>
      <xdr:colOff>263073</xdr:colOff>
      <xdr:row>57</xdr:row>
      <xdr:rowOff>54428</xdr:rowOff>
    </xdr:to>
    <xdr:sp macro="" textlink="">
      <xdr:nvSpPr>
        <xdr:cNvPr id="13" name="Rectangle: Rounded Corners 12">
          <a:extLst>
            <a:ext uri="{FF2B5EF4-FFF2-40B4-BE49-F238E27FC236}">
              <a16:creationId xmlns:a16="http://schemas.microsoft.com/office/drawing/2014/main" id="{AFC4FFAA-0635-8C74-66BD-535C45732EB4}"/>
            </a:ext>
          </a:extLst>
        </xdr:cNvPr>
        <xdr:cNvSpPr/>
      </xdr:nvSpPr>
      <xdr:spPr>
        <a:xfrm>
          <a:off x="707573" y="9026072"/>
          <a:ext cx="3810000" cy="1369785"/>
        </a:xfrm>
        <a:prstGeom prst="round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a:t>Total Revenue : 46,314</a:t>
          </a:r>
          <a:r>
            <a:rPr lang="en-US" sz="6000">
              <a:effectLst/>
            </a:rPr>
            <a:t> </a:t>
          </a:r>
          <a:endParaRPr lang="en-US" sz="2800"/>
        </a:p>
      </xdr:txBody>
    </xdr:sp>
    <xdr:clientData/>
  </xdr:twoCellAnchor>
  <xdr:twoCellAnchor>
    <xdr:from>
      <xdr:col>1</xdr:col>
      <xdr:colOff>63500</xdr:colOff>
      <xdr:row>59</xdr:row>
      <xdr:rowOff>72571</xdr:rowOff>
    </xdr:from>
    <xdr:to>
      <xdr:col>7</xdr:col>
      <xdr:colOff>299357</xdr:colOff>
      <xdr:row>67</xdr:row>
      <xdr:rowOff>154215</xdr:rowOff>
    </xdr:to>
    <xdr:sp macro="" textlink="">
      <xdr:nvSpPr>
        <xdr:cNvPr id="16" name="Rectangle: Rounded Corners 15">
          <a:extLst>
            <a:ext uri="{FF2B5EF4-FFF2-40B4-BE49-F238E27FC236}">
              <a16:creationId xmlns:a16="http://schemas.microsoft.com/office/drawing/2014/main" id="{5519B7CC-0E59-76F8-587B-9C56BF9B997C}"/>
            </a:ext>
          </a:extLst>
        </xdr:cNvPr>
        <xdr:cNvSpPr/>
      </xdr:nvSpPr>
      <xdr:spPr>
        <a:xfrm>
          <a:off x="671286" y="10776857"/>
          <a:ext cx="3882571" cy="1533072"/>
        </a:xfrm>
        <a:prstGeom prst="round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800">
            <a:solidFill>
              <a:schemeClr val="lt1"/>
            </a:solidFill>
            <a:effectLst/>
            <a:latin typeface="+mn-lt"/>
            <a:ea typeface="+mn-ea"/>
            <a:cs typeface="+mn-cs"/>
          </a:endParaRPr>
        </a:p>
        <a:p>
          <a:pPr algn="ctr"/>
          <a:r>
            <a:rPr lang="en-US" sz="2800">
              <a:solidFill>
                <a:schemeClr val="lt1"/>
              </a:solidFill>
              <a:effectLst/>
              <a:latin typeface="+mn-lt"/>
              <a:ea typeface="+mn-ea"/>
              <a:cs typeface="+mn-cs"/>
            </a:rPr>
            <a:t>Total Profit :</a:t>
          </a:r>
          <a:r>
            <a:rPr lang="en-US" sz="2800" baseline="0">
              <a:solidFill>
                <a:schemeClr val="lt1"/>
              </a:solidFill>
              <a:effectLst/>
              <a:latin typeface="+mn-lt"/>
              <a:ea typeface="+mn-ea"/>
              <a:cs typeface="+mn-cs"/>
            </a:rPr>
            <a:t> 15,041</a:t>
          </a:r>
          <a:endParaRPr lang="en-US" sz="6000">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cifique" refreshedDate="46076.608536342595" createdVersion="8" refreshedVersion="8" minRefreshableVersion="3" recordCount="60" xr:uid="{FF2A3843-EB51-405F-BDAE-E475B091CE94}">
  <cacheSource type="worksheet">
    <worksheetSource name="Table2"/>
  </cacheSource>
  <cacheFields count="9">
    <cacheField name="Date" numFmtId="0">
      <sharedItems containsSemiMixedTypes="0" containsString="0" containsNumber="1" containsInteger="1" minValue="45294" maxValue="45468"/>
    </cacheField>
    <cacheField name="Product" numFmtId="0">
      <sharedItems count="10">
        <s v="Laptop"/>
        <s v="Phone"/>
        <s v="Printer"/>
        <s v="Monitor"/>
        <s v="Desk"/>
        <s v="Chair"/>
        <s v="Tablet"/>
        <s v="Mouse"/>
        <s v="Keyboard"/>
        <s v="Router"/>
      </sharedItems>
    </cacheField>
    <cacheField name="Category" numFmtId="0">
      <sharedItems count="2">
        <s v="Tech"/>
        <s v="Office"/>
      </sharedItems>
    </cacheField>
    <cacheField name="Quantity" numFmtId="0">
      <sharedItems containsSemiMixedTypes="0" containsString="0" containsNumber="1" containsInteger="1" minValue="1" maxValue="12"/>
    </cacheField>
    <cacheField name="Price" numFmtId="0">
      <sharedItems containsSemiMixedTypes="0" containsString="0" containsNumber="1" containsInteger="1" minValue="25" maxValue="830"/>
    </cacheField>
    <cacheField name="Cost" numFmtId="0">
      <sharedItems containsSemiMixedTypes="0" containsString="0" containsNumber="1" containsInteger="1" minValue="10" maxValue="620"/>
    </cacheField>
    <cacheField name="Revenue" numFmtId="0">
      <sharedItems containsSemiMixedTypes="0" containsString="0" containsNumber="1" containsInteger="1" minValue="150" maxValue="2600" count="45">
        <n v="1600"/>
        <n v="1500"/>
        <n v="300"/>
        <n v="500"/>
        <n v="450"/>
        <n v="480"/>
        <n v="1200"/>
        <n v="150"/>
        <n v="200"/>
        <n v="800"/>
        <n v="2000"/>
        <n v="600"/>
        <n v="360"/>
        <n v="750"/>
        <n v="240"/>
        <n v="2400"/>
        <n v="1000"/>
        <n v="900"/>
        <n v="250"/>
        <n v="280"/>
        <n v="1640"/>
        <n v="1560"/>
        <n v="320"/>
        <n v="920"/>
        <n v="520"/>
        <n v="780"/>
        <n v="1260"/>
        <n v="270"/>
        <n v="820"/>
        <n v="2600"/>
        <n v="640"/>
        <n v="460"/>
        <n v="390"/>
        <n v="1040"/>
        <n v="840"/>
        <n v="1660"/>
        <n v="2120"/>
        <n v="330"/>
        <n v="940"/>
        <n v="540"/>
        <n v="810"/>
        <n v="1290"/>
        <n v="352"/>
        <n v="432"/>
        <n v="510"/>
      </sharedItems>
    </cacheField>
    <cacheField name="Profit" numFmtId="0">
      <sharedItems containsSemiMixedTypes="0" containsString="0" containsNumber="1" containsInteger="1" minValue="90" maxValue="800"/>
    </cacheField>
    <cacheField name="Month" numFmtId="0">
      <sharedItems containsSemiMixedTypes="0" containsString="0" containsNumber="1" containsInteger="1" minValue="1" maxValue="6" count="6">
        <n v="1"/>
        <n v="2"/>
        <n v="3"/>
        <n v="4"/>
        <n v="5"/>
        <n v="6"/>
      </sharedItems>
    </cacheField>
  </cacheFields>
  <extLst>
    <ext xmlns:x14="http://schemas.microsoft.com/office/spreadsheetml/2009/9/main" uri="{725AE2AE-9491-48be-B2B4-4EB974FC3084}">
      <x14:pivotCacheDefinition pivotCacheId="5728520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n v="45294"/>
    <x v="0"/>
    <x v="0"/>
    <n v="2"/>
    <n v="800"/>
    <n v="600"/>
    <x v="0"/>
    <n v="400"/>
    <x v="0"/>
  </r>
  <r>
    <n v="45296"/>
    <x v="1"/>
    <x v="0"/>
    <n v="3"/>
    <n v="500"/>
    <n v="350"/>
    <x v="1"/>
    <n v="450"/>
    <x v="0"/>
  </r>
  <r>
    <n v="45298"/>
    <x v="2"/>
    <x v="1"/>
    <n v="1"/>
    <n v="300"/>
    <n v="200"/>
    <x v="2"/>
    <n v="100"/>
    <x v="0"/>
  </r>
  <r>
    <n v="45301"/>
    <x v="3"/>
    <x v="0"/>
    <n v="2"/>
    <n v="250"/>
    <n v="180"/>
    <x v="3"/>
    <n v="140"/>
    <x v="0"/>
  </r>
  <r>
    <n v="45303"/>
    <x v="4"/>
    <x v="1"/>
    <n v="1"/>
    <n v="450"/>
    <n v="300"/>
    <x v="4"/>
    <n v="150"/>
    <x v="0"/>
  </r>
  <r>
    <n v="45306"/>
    <x v="5"/>
    <x v="1"/>
    <n v="4"/>
    <n v="120"/>
    <n v="70"/>
    <x v="5"/>
    <n v="200"/>
    <x v="0"/>
  </r>
  <r>
    <n v="45309"/>
    <x v="6"/>
    <x v="0"/>
    <n v="3"/>
    <n v="400"/>
    <n v="280"/>
    <x v="6"/>
    <n v="360"/>
    <x v="0"/>
  </r>
  <r>
    <n v="45313"/>
    <x v="7"/>
    <x v="0"/>
    <n v="6"/>
    <n v="25"/>
    <n v="10"/>
    <x v="7"/>
    <n v="90"/>
    <x v="0"/>
  </r>
  <r>
    <n v="45316"/>
    <x v="8"/>
    <x v="0"/>
    <n v="5"/>
    <n v="40"/>
    <n v="18"/>
    <x v="8"/>
    <n v="110"/>
    <x v="0"/>
  </r>
  <r>
    <n v="45319"/>
    <x v="9"/>
    <x v="0"/>
    <n v="2"/>
    <n v="150"/>
    <n v="95"/>
    <x v="2"/>
    <n v="110"/>
    <x v="0"/>
  </r>
  <r>
    <n v="45324"/>
    <x v="0"/>
    <x v="0"/>
    <n v="1"/>
    <n v="800"/>
    <n v="600"/>
    <x v="9"/>
    <n v="200"/>
    <x v="1"/>
  </r>
  <r>
    <n v="45326"/>
    <x v="1"/>
    <x v="0"/>
    <n v="4"/>
    <n v="500"/>
    <n v="350"/>
    <x v="10"/>
    <n v="600"/>
    <x v="1"/>
  </r>
  <r>
    <n v="45328"/>
    <x v="2"/>
    <x v="1"/>
    <n v="2"/>
    <n v="300"/>
    <n v="200"/>
    <x v="11"/>
    <n v="200"/>
    <x v="1"/>
  </r>
  <r>
    <n v="45330"/>
    <x v="4"/>
    <x v="1"/>
    <n v="1"/>
    <n v="450"/>
    <n v="300"/>
    <x v="4"/>
    <n v="150"/>
    <x v="1"/>
  </r>
  <r>
    <n v="45333"/>
    <x v="5"/>
    <x v="1"/>
    <n v="3"/>
    <n v="120"/>
    <n v="70"/>
    <x v="12"/>
    <n v="150"/>
    <x v="1"/>
  </r>
  <r>
    <n v="45336"/>
    <x v="3"/>
    <x v="0"/>
    <n v="3"/>
    <n v="250"/>
    <n v="180"/>
    <x v="13"/>
    <n v="210"/>
    <x v="1"/>
  </r>
  <r>
    <n v="45340"/>
    <x v="6"/>
    <x v="0"/>
    <n v="2"/>
    <n v="400"/>
    <n v="280"/>
    <x v="9"/>
    <n v="240"/>
    <x v="1"/>
  </r>
  <r>
    <n v="45343"/>
    <x v="7"/>
    <x v="0"/>
    <n v="8"/>
    <n v="25"/>
    <n v="10"/>
    <x v="8"/>
    <n v="120"/>
    <x v="1"/>
  </r>
  <r>
    <n v="45346"/>
    <x v="8"/>
    <x v="0"/>
    <n v="6"/>
    <n v="40"/>
    <n v="18"/>
    <x v="14"/>
    <n v="132"/>
    <x v="1"/>
  </r>
  <r>
    <n v="45349"/>
    <x v="9"/>
    <x v="0"/>
    <n v="3"/>
    <n v="150"/>
    <n v="95"/>
    <x v="4"/>
    <n v="165"/>
    <x v="1"/>
  </r>
  <r>
    <n v="45352"/>
    <x v="0"/>
    <x v="0"/>
    <n v="3"/>
    <n v="800"/>
    <n v="600"/>
    <x v="15"/>
    <n v="600"/>
    <x v="2"/>
  </r>
  <r>
    <n v="45354"/>
    <x v="1"/>
    <x v="0"/>
    <n v="2"/>
    <n v="500"/>
    <n v="350"/>
    <x v="16"/>
    <n v="300"/>
    <x v="2"/>
  </r>
  <r>
    <n v="45356"/>
    <x v="2"/>
    <x v="1"/>
    <n v="1"/>
    <n v="300"/>
    <n v="200"/>
    <x v="2"/>
    <n v="100"/>
    <x v="2"/>
  </r>
  <r>
    <n v="45359"/>
    <x v="4"/>
    <x v="1"/>
    <n v="2"/>
    <n v="450"/>
    <n v="300"/>
    <x v="17"/>
    <n v="300"/>
    <x v="2"/>
  </r>
  <r>
    <n v="45361"/>
    <x v="5"/>
    <x v="1"/>
    <n v="5"/>
    <n v="120"/>
    <n v="70"/>
    <x v="11"/>
    <n v="250"/>
    <x v="2"/>
  </r>
  <r>
    <n v="45363"/>
    <x v="3"/>
    <x v="0"/>
    <n v="4"/>
    <n v="250"/>
    <n v="180"/>
    <x v="16"/>
    <n v="280"/>
    <x v="2"/>
  </r>
  <r>
    <n v="45366"/>
    <x v="6"/>
    <x v="0"/>
    <n v="2"/>
    <n v="400"/>
    <n v="280"/>
    <x v="9"/>
    <n v="240"/>
    <x v="2"/>
  </r>
  <r>
    <n v="45369"/>
    <x v="7"/>
    <x v="0"/>
    <n v="10"/>
    <n v="25"/>
    <n v="10"/>
    <x v="18"/>
    <n v="150"/>
    <x v="2"/>
  </r>
  <r>
    <n v="45371"/>
    <x v="8"/>
    <x v="0"/>
    <n v="7"/>
    <n v="40"/>
    <n v="18"/>
    <x v="19"/>
    <n v="154"/>
    <x v="2"/>
  </r>
  <r>
    <n v="45373"/>
    <x v="9"/>
    <x v="0"/>
    <n v="2"/>
    <n v="150"/>
    <n v="95"/>
    <x v="2"/>
    <n v="110"/>
    <x v="2"/>
  </r>
  <r>
    <n v="45384"/>
    <x v="0"/>
    <x v="0"/>
    <n v="2"/>
    <n v="820"/>
    <n v="610"/>
    <x v="20"/>
    <n v="420"/>
    <x v="3"/>
  </r>
  <r>
    <n v="45386"/>
    <x v="1"/>
    <x v="0"/>
    <n v="3"/>
    <n v="520"/>
    <n v="360"/>
    <x v="21"/>
    <n v="480"/>
    <x v="3"/>
  </r>
  <r>
    <n v="45388"/>
    <x v="2"/>
    <x v="1"/>
    <n v="1"/>
    <n v="320"/>
    <n v="210"/>
    <x v="22"/>
    <n v="110"/>
    <x v="3"/>
  </r>
  <r>
    <n v="45390"/>
    <x v="4"/>
    <x v="1"/>
    <n v="2"/>
    <n v="460"/>
    <n v="310"/>
    <x v="23"/>
    <n v="300"/>
    <x v="3"/>
  </r>
  <r>
    <n v="45392"/>
    <x v="5"/>
    <x v="1"/>
    <n v="4"/>
    <n v="130"/>
    <n v="75"/>
    <x v="24"/>
    <n v="220"/>
    <x v="3"/>
  </r>
  <r>
    <n v="45394"/>
    <x v="3"/>
    <x v="0"/>
    <n v="3"/>
    <n v="260"/>
    <n v="190"/>
    <x v="25"/>
    <n v="210"/>
    <x v="3"/>
  </r>
  <r>
    <n v="45397"/>
    <x v="6"/>
    <x v="0"/>
    <n v="3"/>
    <n v="420"/>
    <n v="290"/>
    <x v="26"/>
    <n v="390"/>
    <x v="3"/>
  </r>
  <r>
    <n v="45400"/>
    <x v="7"/>
    <x v="0"/>
    <n v="9"/>
    <n v="30"/>
    <n v="12"/>
    <x v="27"/>
    <n v="162"/>
    <x v="3"/>
  </r>
  <r>
    <n v="45402"/>
    <x v="8"/>
    <x v="0"/>
    <n v="6"/>
    <n v="45"/>
    <n v="20"/>
    <x v="27"/>
    <n v="150"/>
    <x v="3"/>
  </r>
  <r>
    <n v="45404"/>
    <x v="9"/>
    <x v="0"/>
    <n v="3"/>
    <n v="160"/>
    <n v="100"/>
    <x v="5"/>
    <n v="180"/>
    <x v="3"/>
  </r>
  <r>
    <n v="45414"/>
    <x v="0"/>
    <x v="0"/>
    <n v="1"/>
    <n v="820"/>
    <n v="610"/>
    <x v="28"/>
    <n v="210"/>
    <x v="4"/>
  </r>
  <r>
    <n v="45417"/>
    <x v="1"/>
    <x v="0"/>
    <n v="5"/>
    <n v="520"/>
    <n v="360"/>
    <x v="29"/>
    <n v="800"/>
    <x v="4"/>
  </r>
  <r>
    <n v="45419"/>
    <x v="2"/>
    <x v="1"/>
    <n v="2"/>
    <n v="320"/>
    <n v="210"/>
    <x v="30"/>
    <n v="220"/>
    <x v="4"/>
  </r>
  <r>
    <n v="45421"/>
    <x v="4"/>
    <x v="1"/>
    <n v="1"/>
    <n v="460"/>
    <n v="310"/>
    <x v="31"/>
    <n v="150"/>
    <x v="4"/>
  </r>
  <r>
    <n v="45424"/>
    <x v="5"/>
    <x v="1"/>
    <n v="3"/>
    <n v="130"/>
    <n v="75"/>
    <x v="32"/>
    <n v="165"/>
    <x v="4"/>
  </r>
  <r>
    <n v="45427"/>
    <x v="3"/>
    <x v="0"/>
    <n v="4"/>
    <n v="260"/>
    <n v="190"/>
    <x v="33"/>
    <n v="280"/>
    <x v="4"/>
  </r>
  <r>
    <n v="45430"/>
    <x v="6"/>
    <x v="0"/>
    <n v="2"/>
    <n v="420"/>
    <n v="290"/>
    <x v="34"/>
    <n v="260"/>
    <x v="4"/>
  </r>
  <r>
    <n v="45432"/>
    <x v="7"/>
    <x v="0"/>
    <n v="12"/>
    <n v="30"/>
    <n v="12"/>
    <x v="12"/>
    <n v="216"/>
    <x v="4"/>
  </r>
  <r>
    <n v="45434"/>
    <x v="8"/>
    <x v="0"/>
    <n v="8"/>
    <n v="45"/>
    <n v="20"/>
    <x v="12"/>
    <n v="200"/>
    <x v="4"/>
  </r>
  <r>
    <n v="45437"/>
    <x v="9"/>
    <x v="0"/>
    <n v="4"/>
    <n v="160"/>
    <n v="100"/>
    <x v="30"/>
    <n v="240"/>
    <x v="4"/>
  </r>
  <r>
    <n v="45445"/>
    <x v="0"/>
    <x v="0"/>
    <n v="2"/>
    <n v="830"/>
    <n v="620"/>
    <x v="35"/>
    <n v="420"/>
    <x v="5"/>
  </r>
  <r>
    <n v="45447"/>
    <x v="1"/>
    <x v="0"/>
    <n v="4"/>
    <n v="530"/>
    <n v="370"/>
    <x v="36"/>
    <n v="640"/>
    <x v="5"/>
  </r>
  <r>
    <n v="45450"/>
    <x v="2"/>
    <x v="1"/>
    <n v="1"/>
    <n v="330"/>
    <n v="220"/>
    <x v="37"/>
    <n v="110"/>
    <x v="5"/>
  </r>
  <r>
    <n v="45453"/>
    <x v="4"/>
    <x v="1"/>
    <n v="2"/>
    <n v="470"/>
    <n v="320"/>
    <x v="38"/>
    <n v="300"/>
    <x v="5"/>
  </r>
  <r>
    <n v="45455"/>
    <x v="5"/>
    <x v="1"/>
    <n v="4"/>
    <n v="135"/>
    <n v="80"/>
    <x v="39"/>
    <n v="220"/>
    <x v="5"/>
  </r>
  <r>
    <n v="45458"/>
    <x v="3"/>
    <x v="0"/>
    <n v="3"/>
    <n v="270"/>
    <n v="200"/>
    <x v="40"/>
    <n v="210"/>
    <x v="5"/>
  </r>
  <r>
    <n v="45461"/>
    <x v="6"/>
    <x v="0"/>
    <n v="3"/>
    <n v="430"/>
    <n v="300"/>
    <x v="41"/>
    <n v="390"/>
    <x v="5"/>
  </r>
  <r>
    <n v="45463"/>
    <x v="7"/>
    <x v="0"/>
    <n v="11"/>
    <n v="32"/>
    <n v="14"/>
    <x v="42"/>
    <n v="198"/>
    <x v="5"/>
  </r>
  <r>
    <n v="45465"/>
    <x v="8"/>
    <x v="0"/>
    <n v="9"/>
    <n v="48"/>
    <n v="22"/>
    <x v="43"/>
    <n v="234"/>
    <x v="5"/>
  </r>
  <r>
    <n v="45468"/>
    <x v="9"/>
    <x v="0"/>
    <n v="3"/>
    <n v="170"/>
    <n v="105"/>
    <x v="44"/>
    <n v="195"/>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383C8D-D4AC-485C-B218-FFC87626F4DD}"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3:B10" firstHeaderRow="1" firstDataRow="1" firstDataCol="1"/>
  <pivotFields count="9">
    <pivotField showAll="0"/>
    <pivotField showAll="0"/>
    <pivotField showAll="0"/>
    <pivotField showAll="0"/>
    <pivotField showAll="0"/>
    <pivotField showAll="0"/>
    <pivotField dataField="1" showAll="0">
      <items count="46">
        <item x="7"/>
        <item x="8"/>
        <item x="14"/>
        <item x="18"/>
        <item x="27"/>
        <item x="19"/>
        <item x="2"/>
        <item x="22"/>
        <item x="37"/>
        <item x="42"/>
        <item x="12"/>
        <item x="32"/>
        <item x="43"/>
        <item x="4"/>
        <item x="31"/>
        <item x="5"/>
        <item x="3"/>
        <item x="44"/>
        <item x="24"/>
        <item x="39"/>
        <item x="11"/>
        <item x="30"/>
        <item x="13"/>
        <item x="25"/>
        <item x="9"/>
        <item x="40"/>
        <item x="28"/>
        <item x="34"/>
        <item x="17"/>
        <item x="23"/>
        <item x="38"/>
        <item x="16"/>
        <item x="33"/>
        <item x="6"/>
        <item x="26"/>
        <item x="41"/>
        <item x="1"/>
        <item x="21"/>
        <item x="0"/>
        <item x="20"/>
        <item x="35"/>
        <item x="10"/>
        <item x="36"/>
        <item x="15"/>
        <item x="29"/>
        <item t="default"/>
      </items>
    </pivotField>
    <pivotField showAll="0"/>
    <pivotField axis="axisRow" showAll="0">
      <items count="7">
        <item x="0"/>
        <item x="1"/>
        <item x="2"/>
        <item x="3"/>
        <item x="4"/>
        <item x="5"/>
        <item t="default"/>
      </items>
    </pivotField>
  </pivotFields>
  <rowFields count="1">
    <field x="8"/>
  </rowFields>
  <rowItems count="7">
    <i>
      <x/>
    </i>
    <i>
      <x v="1"/>
    </i>
    <i>
      <x v="2"/>
    </i>
    <i>
      <x v="3"/>
    </i>
    <i>
      <x v="4"/>
    </i>
    <i>
      <x v="5"/>
    </i>
    <i t="grand">
      <x/>
    </i>
  </rowItems>
  <colItems count="1">
    <i/>
  </colItems>
  <dataFields count="1">
    <dataField name="Sum of Revenue" fld="6" baseField="0" baseItem="0"/>
  </dataFields>
  <chartFormats count="1">
    <chartFormat chart="3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FE49EC-49B7-41D1-9B62-B1C7E6D49273}"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0" firstHeaderRow="1" firstDataRow="1" firstDataCol="1"/>
  <pivotFields count="9">
    <pivotField showAll="0"/>
    <pivotField showAll="0"/>
    <pivotField showAll="0"/>
    <pivotField showAll="0"/>
    <pivotField showAll="0"/>
    <pivotField showAll="0"/>
    <pivotField showAll="0"/>
    <pivotField dataField="1" showAll="0"/>
    <pivotField axis="axisRow" showAll="0">
      <items count="7">
        <item x="0"/>
        <item x="1"/>
        <item x="2"/>
        <item x="3"/>
        <item x="4"/>
        <item x="5"/>
        <item t="default"/>
      </items>
    </pivotField>
  </pivotFields>
  <rowFields count="1">
    <field x="8"/>
  </rowFields>
  <rowItems count="7">
    <i>
      <x/>
    </i>
    <i>
      <x v="1"/>
    </i>
    <i>
      <x v="2"/>
    </i>
    <i>
      <x v="3"/>
    </i>
    <i>
      <x v="4"/>
    </i>
    <i>
      <x v="5"/>
    </i>
    <i t="grand">
      <x/>
    </i>
  </rowItems>
  <colItems count="1">
    <i/>
  </colItems>
  <dataFields count="1">
    <dataField name="Sum of Profit" fld="7"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C62EA7-5820-4C13-902F-FDEDB9825DED}"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4" firstHeaderRow="1" firstDataRow="1" firstDataCol="1"/>
  <pivotFields count="9">
    <pivotField showAll="0"/>
    <pivotField axis="axisRow" showAll="0" sortType="ascending">
      <items count="11">
        <item x="6"/>
        <item x="9"/>
        <item x="2"/>
        <item x="1"/>
        <item x="7"/>
        <item x="3"/>
        <item x="0"/>
        <item x="8"/>
        <item x="4"/>
        <item x="5"/>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s>
  <rowFields count="1">
    <field x="1"/>
  </rowFields>
  <rowItems count="11">
    <i>
      <x v="2"/>
    </i>
    <i>
      <x v="8"/>
    </i>
    <i>
      <x v="6"/>
    </i>
    <i>
      <x/>
    </i>
    <i>
      <x v="1"/>
    </i>
    <i>
      <x v="5"/>
    </i>
    <i>
      <x v="3"/>
    </i>
    <i>
      <x v="9"/>
    </i>
    <i>
      <x v="7"/>
    </i>
    <i>
      <x v="4"/>
    </i>
    <i t="grand">
      <x/>
    </i>
  </rowItems>
  <colItems count="1">
    <i/>
  </colItems>
  <dataFields count="1">
    <dataField name="Sum of Quantity" fld="3"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D2FEBBA-FCB1-4ACA-A483-550CEC6D1298}" sourceName="Product">
  <data>
    <tabular pivotCacheId="572852035">
      <items count="10">
        <i x="5" s="1"/>
        <i x="4" s="1"/>
        <i x="8" s="1"/>
        <i x="0" s="1"/>
        <i x="3" s="1"/>
        <i x="7" s="1"/>
        <i x="1" s="1"/>
        <i x="2" s="1"/>
        <i x="9"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125FD23-66B2-49C9-8E73-F665D6FA77F2}" sourceName="Category">
  <data>
    <tabular pivotCacheId="57285203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23B1002-C27C-4678-8F28-70583D6DDEF3}" sourceName="Month">
  <data>
    <tabular pivotCacheId="572852035">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32DEC19A-5150-49C8-8DDB-F8E22CBE6F02}" cache="Slicer_Product" caption="Product" startItem="1" rowHeight="251883"/>
  <slicer name="Category" xr10:uid="{1CA8BB30-A78F-41DE-9065-66D61D6C92DD}" cache="Slicer_Category" caption="Category" rowHeight="251883"/>
  <slicer name="Month" xr10:uid="{52D2A155-8529-479F-BCF8-01916320021B}" cache="Slicer_Month" caption="Month"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77CB880-CBB4-4F6A-8A1F-CD33E6D82689}" name="Table2" displayName="Table2" ref="A1:I61" totalsRowShown="0" headerRowDxfId="0">
  <autoFilter ref="A1:I61" xr:uid="{677CB880-CBB4-4F6A-8A1F-CD33E6D82689}"/>
  <tableColumns count="9">
    <tableColumn id="1" xr3:uid="{7EE3A585-DCFC-4DB8-ABB0-8CEBFD0D38AA}" name="Date"/>
    <tableColumn id="2" xr3:uid="{68715117-3B2B-4226-9EC0-C5226D49B69E}" name="Product"/>
    <tableColumn id="3" xr3:uid="{8808E71F-49F6-4336-81A6-5979C77DCEB8}" name="Category"/>
    <tableColumn id="4" xr3:uid="{1336AE9A-EA3F-4CF6-8103-05B1038CB0FA}" name="Quantity"/>
    <tableColumn id="5" xr3:uid="{FE703AFE-F564-434A-8917-4360EC190836}" name="Price"/>
    <tableColumn id="6" xr3:uid="{DE5E45E0-6344-4367-9DFA-5C9F501E0590}" name="Cost"/>
    <tableColumn id="7" xr3:uid="{D1D41562-A36F-4092-ADBA-FAC147A01671}" name="Revenue">
      <calculatedColumnFormula xml:space="preserve"> D2 * E2</calculatedColumnFormula>
    </tableColumn>
    <tableColumn id="8" xr3:uid="{3D18EAD7-324F-43FC-AD38-ABC038A5544B}" name="Profit">
      <calculatedColumnFormula xml:space="preserve"> (E2 - F2) * D2</calculatedColumnFormula>
    </tableColumn>
    <tableColumn id="9" xr3:uid="{EF0EA543-EEB4-4CC2-B3F9-82101D2BC91B}" name="Month">
      <calculatedColumnFormula xml:space="preserve"> MONTH(A2)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C6203-D846-497A-8CDD-082F7A2291CF}">
  <dimension ref="A1:I61"/>
  <sheetViews>
    <sheetView showGridLines="0" tabSelected="1" zoomScaleNormal="100" workbookViewId="0">
      <selection activeCell="H6" sqref="H6"/>
    </sheetView>
  </sheetViews>
  <sheetFormatPr defaultRowHeight="14.5" x14ac:dyDescent="0.35"/>
  <cols>
    <col min="1" max="1" width="10.6328125" customWidth="1"/>
    <col min="2" max="3" width="10.26953125" customWidth="1"/>
    <col min="4" max="4" width="10.08984375" customWidth="1"/>
    <col min="5" max="5" width="13.54296875" customWidth="1"/>
    <col min="6" max="6" width="12.6328125" customWidth="1"/>
    <col min="7" max="7" width="10.1796875" customWidth="1"/>
    <col min="12" max="12" width="10.26953125" customWidth="1"/>
  </cols>
  <sheetData>
    <row r="1" spans="1:9" x14ac:dyDescent="0.35">
      <c r="A1" s="7" t="s">
        <v>0</v>
      </c>
      <c r="B1" s="7" t="s">
        <v>1</v>
      </c>
      <c r="C1" s="7" t="s">
        <v>2</v>
      </c>
      <c r="D1" s="7" t="s">
        <v>3</v>
      </c>
      <c r="E1" s="7" t="s">
        <v>4</v>
      </c>
      <c r="F1" s="7" t="s">
        <v>5</v>
      </c>
      <c r="G1" s="7" t="s">
        <v>18</v>
      </c>
      <c r="H1" s="7" t="s">
        <v>19</v>
      </c>
      <c r="I1" s="7" t="s">
        <v>20</v>
      </c>
    </row>
    <row r="2" spans="1:9" x14ac:dyDescent="0.35">
      <c r="A2">
        <v>45294</v>
      </c>
      <c r="B2" t="s">
        <v>6</v>
      </c>
      <c r="C2" t="s">
        <v>7</v>
      </c>
      <c r="D2">
        <v>2</v>
      </c>
      <c r="E2">
        <v>800</v>
      </c>
      <c r="F2">
        <v>600</v>
      </c>
      <c r="G2">
        <f xml:space="preserve"> D2 * E2</f>
        <v>1600</v>
      </c>
      <c r="H2">
        <f xml:space="preserve"> (E2 - F2) * D2</f>
        <v>400</v>
      </c>
      <c r="I2">
        <f xml:space="preserve"> MONTH(A2)</f>
        <v>1</v>
      </c>
    </row>
    <row r="3" spans="1:9" x14ac:dyDescent="0.35">
      <c r="A3">
        <v>45296</v>
      </c>
      <c r="B3" t="s">
        <v>8</v>
      </c>
      <c r="C3" t="s">
        <v>7</v>
      </c>
      <c r="D3">
        <v>3</v>
      </c>
      <c r="E3">
        <v>500</v>
      </c>
      <c r="F3">
        <v>350</v>
      </c>
      <c r="G3">
        <f t="shared" ref="G3:G61" si="0" xml:space="preserve"> D3 * E3</f>
        <v>1500</v>
      </c>
      <c r="H3">
        <f t="shared" ref="H3:H61" si="1" xml:space="preserve"> (E3 - F3) * D3</f>
        <v>450</v>
      </c>
      <c r="I3">
        <f t="shared" ref="I3:I61" si="2" xml:space="preserve"> MONTH(A3)</f>
        <v>1</v>
      </c>
    </row>
    <row r="4" spans="1:9" x14ac:dyDescent="0.35">
      <c r="A4">
        <v>45298</v>
      </c>
      <c r="B4" t="s">
        <v>9</v>
      </c>
      <c r="C4" t="s">
        <v>10</v>
      </c>
      <c r="D4">
        <v>1</v>
      </c>
      <c r="E4">
        <v>300</v>
      </c>
      <c r="F4">
        <v>200</v>
      </c>
      <c r="G4">
        <f t="shared" si="0"/>
        <v>300</v>
      </c>
      <c r="H4">
        <f t="shared" si="1"/>
        <v>100</v>
      </c>
      <c r="I4">
        <f t="shared" si="2"/>
        <v>1</v>
      </c>
    </row>
    <row r="5" spans="1:9" x14ac:dyDescent="0.35">
      <c r="A5">
        <v>45301</v>
      </c>
      <c r="B5" t="s">
        <v>11</v>
      </c>
      <c r="C5" t="s">
        <v>7</v>
      </c>
      <c r="D5">
        <v>2</v>
      </c>
      <c r="E5">
        <v>250</v>
      </c>
      <c r="F5">
        <v>180</v>
      </c>
      <c r="G5">
        <f t="shared" si="0"/>
        <v>500</v>
      </c>
      <c r="H5">
        <f t="shared" si="1"/>
        <v>140</v>
      </c>
      <c r="I5">
        <f t="shared" si="2"/>
        <v>1</v>
      </c>
    </row>
    <row r="6" spans="1:9" x14ac:dyDescent="0.35">
      <c r="A6">
        <v>45303</v>
      </c>
      <c r="B6" t="s">
        <v>12</v>
      </c>
      <c r="C6" t="s">
        <v>10</v>
      </c>
      <c r="D6">
        <v>1</v>
      </c>
      <c r="E6">
        <v>450</v>
      </c>
      <c r="F6">
        <v>300</v>
      </c>
      <c r="G6">
        <f t="shared" si="0"/>
        <v>450</v>
      </c>
      <c r="H6">
        <f t="shared" si="1"/>
        <v>150</v>
      </c>
      <c r="I6">
        <f t="shared" si="2"/>
        <v>1</v>
      </c>
    </row>
    <row r="7" spans="1:9" x14ac:dyDescent="0.35">
      <c r="A7">
        <v>45306</v>
      </c>
      <c r="B7" t="s">
        <v>13</v>
      </c>
      <c r="C7" t="s">
        <v>10</v>
      </c>
      <c r="D7">
        <v>4</v>
      </c>
      <c r="E7">
        <v>120</v>
      </c>
      <c r="F7">
        <v>70</v>
      </c>
      <c r="G7">
        <f t="shared" si="0"/>
        <v>480</v>
      </c>
      <c r="H7">
        <f t="shared" si="1"/>
        <v>200</v>
      </c>
      <c r="I7">
        <f t="shared" si="2"/>
        <v>1</v>
      </c>
    </row>
    <row r="8" spans="1:9" x14ac:dyDescent="0.35">
      <c r="A8">
        <v>45309</v>
      </c>
      <c r="B8" t="s">
        <v>14</v>
      </c>
      <c r="C8" t="s">
        <v>7</v>
      </c>
      <c r="D8">
        <v>3</v>
      </c>
      <c r="E8">
        <v>400</v>
      </c>
      <c r="F8">
        <v>280</v>
      </c>
      <c r="G8">
        <f t="shared" si="0"/>
        <v>1200</v>
      </c>
      <c r="H8">
        <f t="shared" si="1"/>
        <v>360</v>
      </c>
      <c r="I8">
        <f t="shared" si="2"/>
        <v>1</v>
      </c>
    </row>
    <row r="9" spans="1:9" x14ac:dyDescent="0.35">
      <c r="A9">
        <v>45313</v>
      </c>
      <c r="B9" t="s">
        <v>15</v>
      </c>
      <c r="C9" t="s">
        <v>7</v>
      </c>
      <c r="D9">
        <v>6</v>
      </c>
      <c r="E9">
        <v>25</v>
      </c>
      <c r="F9">
        <v>10</v>
      </c>
      <c r="G9">
        <f t="shared" si="0"/>
        <v>150</v>
      </c>
      <c r="H9">
        <f t="shared" si="1"/>
        <v>90</v>
      </c>
      <c r="I9">
        <f t="shared" si="2"/>
        <v>1</v>
      </c>
    </row>
    <row r="10" spans="1:9" x14ac:dyDescent="0.35">
      <c r="A10">
        <v>45316</v>
      </c>
      <c r="B10" t="s">
        <v>16</v>
      </c>
      <c r="C10" t="s">
        <v>7</v>
      </c>
      <c r="D10">
        <v>5</v>
      </c>
      <c r="E10">
        <v>40</v>
      </c>
      <c r="F10">
        <v>18</v>
      </c>
      <c r="G10">
        <f t="shared" si="0"/>
        <v>200</v>
      </c>
      <c r="H10">
        <f t="shared" si="1"/>
        <v>110</v>
      </c>
      <c r="I10">
        <f t="shared" si="2"/>
        <v>1</v>
      </c>
    </row>
    <row r="11" spans="1:9" x14ac:dyDescent="0.35">
      <c r="A11">
        <v>45319</v>
      </c>
      <c r="B11" t="s">
        <v>17</v>
      </c>
      <c r="C11" t="s">
        <v>7</v>
      </c>
      <c r="D11">
        <v>2</v>
      </c>
      <c r="E11">
        <v>150</v>
      </c>
      <c r="F11">
        <v>95</v>
      </c>
      <c r="G11">
        <f t="shared" si="0"/>
        <v>300</v>
      </c>
      <c r="H11">
        <f t="shared" si="1"/>
        <v>110</v>
      </c>
      <c r="I11">
        <f t="shared" si="2"/>
        <v>1</v>
      </c>
    </row>
    <row r="12" spans="1:9" x14ac:dyDescent="0.35">
      <c r="A12">
        <v>45324</v>
      </c>
      <c r="B12" t="s">
        <v>6</v>
      </c>
      <c r="C12" t="s">
        <v>7</v>
      </c>
      <c r="D12">
        <v>1</v>
      </c>
      <c r="E12">
        <v>800</v>
      </c>
      <c r="F12">
        <v>600</v>
      </c>
      <c r="G12">
        <f t="shared" si="0"/>
        <v>800</v>
      </c>
      <c r="H12">
        <f t="shared" si="1"/>
        <v>200</v>
      </c>
      <c r="I12">
        <f t="shared" si="2"/>
        <v>2</v>
      </c>
    </row>
    <row r="13" spans="1:9" x14ac:dyDescent="0.35">
      <c r="A13">
        <v>45326</v>
      </c>
      <c r="B13" t="s">
        <v>8</v>
      </c>
      <c r="C13" t="s">
        <v>7</v>
      </c>
      <c r="D13">
        <v>4</v>
      </c>
      <c r="E13">
        <v>500</v>
      </c>
      <c r="F13">
        <v>350</v>
      </c>
      <c r="G13">
        <f t="shared" si="0"/>
        <v>2000</v>
      </c>
      <c r="H13">
        <f t="shared" si="1"/>
        <v>600</v>
      </c>
      <c r="I13">
        <f t="shared" si="2"/>
        <v>2</v>
      </c>
    </row>
    <row r="14" spans="1:9" x14ac:dyDescent="0.35">
      <c r="A14">
        <v>45328</v>
      </c>
      <c r="B14" t="s">
        <v>9</v>
      </c>
      <c r="C14" t="s">
        <v>10</v>
      </c>
      <c r="D14">
        <v>2</v>
      </c>
      <c r="E14">
        <v>300</v>
      </c>
      <c r="F14">
        <v>200</v>
      </c>
      <c r="G14">
        <f t="shared" si="0"/>
        <v>600</v>
      </c>
      <c r="H14">
        <f t="shared" si="1"/>
        <v>200</v>
      </c>
      <c r="I14">
        <f t="shared" si="2"/>
        <v>2</v>
      </c>
    </row>
    <row r="15" spans="1:9" x14ac:dyDescent="0.35">
      <c r="A15">
        <v>45330</v>
      </c>
      <c r="B15" t="s">
        <v>12</v>
      </c>
      <c r="C15" t="s">
        <v>10</v>
      </c>
      <c r="D15">
        <v>1</v>
      </c>
      <c r="E15">
        <v>450</v>
      </c>
      <c r="F15">
        <v>300</v>
      </c>
      <c r="G15">
        <f t="shared" si="0"/>
        <v>450</v>
      </c>
      <c r="H15">
        <f t="shared" si="1"/>
        <v>150</v>
      </c>
      <c r="I15">
        <f t="shared" si="2"/>
        <v>2</v>
      </c>
    </row>
    <row r="16" spans="1:9" x14ac:dyDescent="0.35">
      <c r="A16">
        <v>45333</v>
      </c>
      <c r="B16" t="s">
        <v>13</v>
      </c>
      <c r="C16" t="s">
        <v>10</v>
      </c>
      <c r="D16">
        <v>3</v>
      </c>
      <c r="E16">
        <v>120</v>
      </c>
      <c r="F16">
        <v>70</v>
      </c>
      <c r="G16">
        <f t="shared" si="0"/>
        <v>360</v>
      </c>
      <c r="H16">
        <f t="shared" si="1"/>
        <v>150</v>
      </c>
      <c r="I16">
        <f t="shared" si="2"/>
        <v>2</v>
      </c>
    </row>
    <row r="17" spans="1:9" x14ac:dyDescent="0.35">
      <c r="A17">
        <v>45336</v>
      </c>
      <c r="B17" t="s">
        <v>11</v>
      </c>
      <c r="C17" t="s">
        <v>7</v>
      </c>
      <c r="D17">
        <v>3</v>
      </c>
      <c r="E17">
        <v>250</v>
      </c>
      <c r="F17">
        <v>180</v>
      </c>
      <c r="G17">
        <f t="shared" si="0"/>
        <v>750</v>
      </c>
      <c r="H17">
        <f t="shared" si="1"/>
        <v>210</v>
      </c>
      <c r="I17">
        <f t="shared" si="2"/>
        <v>2</v>
      </c>
    </row>
    <row r="18" spans="1:9" x14ac:dyDescent="0.35">
      <c r="A18">
        <v>45340</v>
      </c>
      <c r="B18" t="s">
        <v>14</v>
      </c>
      <c r="C18" t="s">
        <v>7</v>
      </c>
      <c r="D18">
        <v>2</v>
      </c>
      <c r="E18">
        <v>400</v>
      </c>
      <c r="F18">
        <v>280</v>
      </c>
      <c r="G18">
        <f t="shared" si="0"/>
        <v>800</v>
      </c>
      <c r="H18">
        <f t="shared" si="1"/>
        <v>240</v>
      </c>
      <c r="I18">
        <f t="shared" si="2"/>
        <v>2</v>
      </c>
    </row>
    <row r="19" spans="1:9" x14ac:dyDescent="0.35">
      <c r="A19">
        <v>45343</v>
      </c>
      <c r="B19" t="s">
        <v>15</v>
      </c>
      <c r="C19" t="s">
        <v>7</v>
      </c>
      <c r="D19">
        <v>8</v>
      </c>
      <c r="E19">
        <v>25</v>
      </c>
      <c r="F19">
        <v>10</v>
      </c>
      <c r="G19">
        <f t="shared" si="0"/>
        <v>200</v>
      </c>
      <c r="H19">
        <f t="shared" si="1"/>
        <v>120</v>
      </c>
      <c r="I19">
        <f t="shared" si="2"/>
        <v>2</v>
      </c>
    </row>
    <row r="20" spans="1:9" x14ac:dyDescent="0.35">
      <c r="A20">
        <v>45346</v>
      </c>
      <c r="B20" t="s">
        <v>16</v>
      </c>
      <c r="C20" t="s">
        <v>7</v>
      </c>
      <c r="D20">
        <v>6</v>
      </c>
      <c r="E20">
        <v>40</v>
      </c>
      <c r="F20">
        <v>18</v>
      </c>
      <c r="G20">
        <f t="shared" si="0"/>
        <v>240</v>
      </c>
      <c r="H20">
        <f t="shared" si="1"/>
        <v>132</v>
      </c>
      <c r="I20">
        <f t="shared" si="2"/>
        <v>2</v>
      </c>
    </row>
    <row r="21" spans="1:9" x14ac:dyDescent="0.35">
      <c r="A21">
        <v>45349</v>
      </c>
      <c r="B21" t="s">
        <v>17</v>
      </c>
      <c r="C21" t="s">
        <v>7</v>
      </c>
      <c r="D21">
        <v>3</v>
      </c>
      <c r="E21">
        <v>150</v>
      </c>
      <c r="F21">
        <v>95</v>
      </c>
      <c r="G21">
        <f t="shared" si="0"/>
        <v>450</v>
      </c>
      <c r="H21">
        <f t="shared" si="1"/>
        <v>165</v>
      </c>
      <c r="I21">
        <f t="shared" si="2"/>
        <v>2</v>
      </c>
    </row>
    <row r="22" spans="1:9" x14ac:dyDescent="0.35">
      <c r="A22">
        <v>45352</v>
      </c>
      <c r="B22" t="s">
        <v>6</v>
      </c>
      <c r="C22" t="s">
        <v>7</v>
      </c>
      <c r="D22">
        <v>3</v>
      </c>
      <c r="E22">
        <v>800</v>
      </c>
      <c r="F22">
        <v>600</v>
      </c>
      <c r="G22">
        <f t="shared" si="0"/>
        <v>2400</v>
      </c>
      <c r="H22">
        <f t="shared" si="1"/>
        <v>600</v>
      </c>
      <c r="I22">
        <f t="shared" si="2"/>
        <v>3</v>
      </c>
    </row>
    <row r="23" spans="1:9" x14ac:dyDescent="0.35">
      <c r="A23">
        <v>45354</v>
      </c>
      <c r="B23" t="s">
        <v>8</v>
      </c>
      <c r="C23" t="s">
        <v>7</v>
      </c>
      <c r="D23">
        <v>2</v>
      </c>
      <c r="E23">
        <v>500</v>
      </c>
      <c r="F23">
        <v>350</v>
      </c>
      <c r="G23">
        <f t="shared" si="0"/>
        <v>1000</v>
      </c>
      <c r="H23">
        <f t="shared" si="1"/>
        <v>300</v>
      </c>
      <c r="I23">
        <f t="shared" si="2"/>
        <v>3</v>
      </c>
    </row>
    <row r="24" spans="1:9" x14ac:dyDescent="0.35">
      <c r="A24">
        <v>45356</v>
      </c>
      <c r="B24" t="s">
        <v>9</v>
      </c>
      <c r="C24" t="s">
        <v>10</v>
      </c>
      <c r="D24">
        <v>1</v>
      </c>
      <c r="E24">
        <v>300</v>
      </c>
      <c r="F24">
        <v>200</v>
      </c>
      <c r="G24">
        <f t="shared" si="0"/>
        <v>300</v>
      </c>
      <c r="H24">
        <f t="shared" si="1"/>
        <v>100</v>
      </c>
      <c r="I24">
        <f t="shared" si="2"/>
        <v>3</v>
      </c>
    </row>
    <row r="25" spans="1:9" x14ac:dyDescent="0.35">
      <c r="A25">
        <v>45359</v>
      </c>
      <c r="B25" t="s">
        <v>12</v>
      </c>
      <c r="C25" t="s">
        <v>10</v>
      </c>
      <c r="D25">
        <v>2</v>
      </c>
      <c r="E25">
        <v>450</v>
      </c>
      <c r="F25">
        <v>300</v>
      </c>
      <c r="G25">
        <f t="shared" si="0"/>
        <v>900</v>
      </c>
      <c r="H25">
        <f t="shared" si="1"/>
        <v>300</v>
      </c>
      <c r="I25">
        <f t="shared" si="2"/>
        <v>3</v>
      </c>
    </row>
    <row r="26" spans="1:9" x14ac:dyDescent="0.35">
      <c r="A26">
        <v>45361</v>
      </c>
      <c r="B26" t="s">
        <v>13</v>
      </c>
      <c r="C26" t="s">
        <v>10</v>
      </c>
      <c r="D26">
        <v>5</v>
      </c>
      <c r="E26">
        <v>120</v>
      </c>
      <c r="F26">
        <v>70</v>
      </c>
      <c r="G26">
        <f t="shared" si="0"/>
        <v>600</v>
      </c>
      <c r="H26">
        <f t="shared" si="1"/>
        <v>250</v>
      </c>
      <c r="I26">
        <f t="shared" si="2"/>
        <v>3</v>
      </c>
    </row>
    <row r="27" spans="1:9" x14ac:dyDescent="0.35">
      <c r="A27">
        <v>45363</v>
      </c>
      <c r="B27" t="s">
        <v>11</v>
      </c>
      <c r="C27" t="s">
        <v>7</v>
      </c>
      <c r="D27">
        <v>4</v>
      </c>
      <c r="E27">
        <v>250</v>
      </c>
      <c r="F27">
        <v>180</v>
      </c>
      <c r="G27">
        <f t="shared" si="0"/>
        <v>1000</v>
      </c>
      <c r="H27">
        <f t="shared" si="1"/>
        <v>280</v>
      </c>
      <c r="I27">
        <f t="shared" si="2"/>
        <v>3</v>
      </c>
    </row>
    <row r="28" spans="1:9" x14ac:dyDescent="0.35">
      <c r="A28">
        <v>45366</v>
      </c>
      <c r="B28" t="s">
        <v>14</v>
      </c>
      <c r="C28" t="s">
        <v>7</v>
      </c>
      <c r="D28">
        <v>2</v>
      </c>
      <c r="E28">
        <v>400</v>
      </c>
      <c r="F28">
        <v>280</v>
      </c>
      <c r="G28">
        <f t="shared" si="0"/>
        <v>800</v>
      </c>
      <c r="H28">
        <f t="shared" si="1"/>
        <v>240</v>
      </c>
      <c r="I28">
        <f t="shared" si="2"/>
        <v>3</v>
      </c>
    </row>
    <row r="29" spans="1:9" x14ac:dyDescent="0.35">
      <c r="A29">
        <v>45369</v>
      </c>
      <c r="B29" t="s">
        <v>15</v>
      </c>
      <c r="C29" t="s">
        <v>7</v>
      </c>
      <c r="D29">
        <v>10</v>
      </c>
      <c r="E29">
        <v>25</v>
      </c>
      <c r="F29">
        <v>10</v>
      </c>
      <c r="G29">
        <f t="shared" si="0"/>
        <v>250</v>
      </c>
      <c r="H29">
        <f t="shared" si="1"/>
        <v>150</v>
      </c>
      <c r="I29">
        <f t="shared" si="2"/>
        <v>3</v>
      </c>
    </row>
    <row r="30" spans="1:9" x14ac:dyDescent="0.35">
      <c r="A30">
        <v>45371</v>
      </c>
      <c r="B30" t="s">
        <v>16</v>
      </c>
      <c r="C30" t="s">
        <v>7</v>
      </c>
      <c r="D30">
        <v>7</v>
      </c>
      <c r="E30">
        <v>40</v>
      </c>
      <c r="F30">
        <v>18</v>
      </c>
      <c r="G30">
        <f t="shared" si="0"/>
        <v>280</v>
      </c>
      <c r="H30">
        <f t="shared" si="1"/>
        <v>154</v>
      </c>
      <c r="I30">
        <f t="shared" si="2"/>
        <v>3</v>
      </c>
    </row>
    <row r="31" spans="1:9" x14ac:dyDescent="0.35">
      <c r="A31">
        <v>45373</v>
      </c>
      <c r="B31" t="s">
        <v>17</v>
      </c>
      <c r="C31" t="s">
        <v>7</v>
      </c>
      <c r="D31">
        <v>2</v>
      </c>
      <c r="E31">
        <v>150</v>
      </c>
      <c r="F31">
        <v>95</v>
      </c>
      <c r="G31">
        <f t="shared" si="0"/>
        <v>300</v>
      </c>
      <c r="H31">
        <f t="shared" si="1"/>
        <v>110</v>
      </c>
      <c r="I31">
        <f t="shared" si="2"/>
        <v>3</v>
      </c>
    </row>
    <row r="32" spans="1:9" x14ac:dyDescent="0.35">
      <c r="A32">
        <v>45384</v>
      </c>
      <c r="B32" t="s">
        <v>6</v>
      </c>
      <c r="C32" t="s">
        <v>7</v>
      </c>
      <c r="D32">
        <v>2</v>
      </c>
      <c r="E32">
        <v>820</v>
      </c>
      <c r="F32">
        <v>610</v>
      </c>
      <c r="G32">
        <f t="shared" si="0"/>
        <v>1640</v>
      </c>
      <c r="H32">
        <f t="shared" si="1"/>
        <v>420</v>
      </c>
      <c r="I32">
        <f t="shared" si="2"/>
        <v>4</v>
      </c>
    </row>
    <row r="33" spans="1:9" x14ac:dyDescent="0.35">
      <c r="A33">
        <v>45386</v>
      </c>
      <c r="B33" t="s">
        <v>8</v>
      </c>
      <c r="C33" t="s">
        <v>7</v>
      </c>
      <c r="D33">
        <v>3</v>
      </c>
      <c r="E33">
        <v>520</v>
      </c>
      <c r="F33">
        <v>360</v>
      </c>
      <c r="G33">
        <f t="shared" si="0"/>
        <v>1560</v>
      </c>
      <c r="H33">
        <f t="shared" si="1"/>
        <v>480</v>
      </c>
      <c r="I33">
        <f t="shared" si="2"/>
        <v>4</v>
      </c>
    </row>
    <row r="34" spans="1:9" x14ac:dyDescent="0.35">
      <c r="A34">
        <v>45388</v>
      </c>
      <c r="B34" t="s">
        <v>9</v>
      </c>
      <c r="C34" t="s">
        <v>10</v>
      </c>
      <c r="D34">
        <v>1</v>
      </c>
      <c r="E34">
        <v>320</v>
      </c>
      <c r="F34">
        <v>210</v>
      </c>
      <c r="G34">
        <f t="shared" si="0"/>
        <v>320</v>
      </c>
      <c r="H34">
        <f t="shared" si="1"/>
        <v>110</v>
      </c>
      <c r="I34">
        <f t="shared" si="2"/>
        <v>4</v>
      </c>
    </row>
    <row r="35" spans="1:9" x14ac:dyDescent="0.35">
      <c r="A35">
        <v>45390</v>
      </c>
      <c r="B35" t="s">
        <v>12</v>
      </c>
      <c r="C35" t="s">
        <v>10</v>
      </c>
      <c r="D35">
        <v>2</v>
      </c>
      <c r="E35">
        <v>460</v>
      </c>
      <c r="F35">
        <v>310</v>
      </c>
      <c r="G35">
        <f t="shared" si="0"/>
        <v>920</v>
      </c>
      <c r="H35">
        <f t="shared" si="1"/>
        <v>300</v>
      </c>
      <c r="I35">
        <f t="shared" si="2"/>
        <v>4</v>
      </c>
    </row>
    <row r="36" spans="1:9" x14ac:dyDescent="0.35">
      <c r="A36">
        <v>45392</v>
      </c>
      <c r="B36" t="s">
        <v>13</v>
      </c>
      <c r="C36" t="s">
        <v>10</v>
      </c>
      <c r="D36">
        <v>4</v>
      </c>
      <c r="E36">
        <v>130</v>
      </c>
      <c r="F36">
        <v>75</v>
      </c>
      <c r="G36">
        <f t="shared" si="0"/>
        <v>520</v>
      </c>
      <c r="H36">
        <f t="shared" si="1"/>
        <v>220</v>
      </c>
      <c r="I36">
        <f t="shared" si="2"/>
        <v>4</v>
      </c>
    </row>
    <row r="37" spans="1:9" x14ac:dyDescent="0.35">
      <c r="A37">
        <v>45394</v>
      </c>
      <c r="B37" t="s">
        <v>11</v>
      </c>
      <c r="C37" t="s">
        <v>7</v>
      </c>
      <c r="D37">
        <v>3</v>
      </c>
      <c r="E37">
        <v>260</v>
      </c>
      <c r="F37">
        <v>190</v>
      </c>
      <c r="G37">
        <f t="shared" si="0"/>
        <v>780</v>
      </c>
      <c r="H37">
        <f t="shared" si="1"/>
        <v>210</v>
      </c>
      <c r="I37">
        <f t="shared" si="2"/>
        <v>4</v>
      </c>
    </row>
    <row r="38" spans="1:9" x14ac:dyDescent="0.35">
      <c r="A38">
        <v>45397</v>
      </c>
      <c r="B38" t="s">
        <v>14</v>
      </c>
      <c r="C38" t="s">
        <v>7</v>
      </c>
      <c r="D38">
        <v>3</v>
      </c>
      <c r="E38">
        <v>420</v>
      </c>
      <c r="F38">
        <v>290</v>
      </c>
      <c r="G38">
        <f t="shared" si="0"/>
        <v>1260</v>
      </c>
      <c r="H38">
        <f t="shared" si="1"/>
        <v>390</v>
      </c>
      <c r="I38">
        <f t="shared" si="2"/>
        <v>4</v>
      </c>
    </row>
    <row r="39" spans="1:9" x14ac:dyDescent="0.35">
      <c r="A39">
        <v>45400</v>
      </c>
      <c r="B39" t="s">
        <v>15</v>
      </c>
      <c r="C39" t="s">
        <v>7</v>
      </c>
      <c r="D39">
        <v>9</v>
      </c>
      <c r="E39">
        <v>30</v>
      </c>
      <c r="F39">
        <v>12</v>
      </c>
      <c r="G39">
        <f t="shared" si="0"/>
        <v>270</v>
      </c>
      <c r="H39">
        <f t="shared" si="1"/>
        <v>162</v>
      </c>
      <c r="I39">
        <f t="shared" si="2"/>
        <v>4</v>
      </c>
    </row>
    <row r="40" spans="1:9" x14ac:dyDescent="0.35">
      <c r="A40">
        <v>45402</v>
      </c>
      <c r="B40" t="s">
        <v>16</v>
      </c>
      <c r="C40" t="s">
        <v>7</v>
      </c>
      <c r="D40">
        <v>6</v>
      </c>
      <c r="E40">
        <v>45</v>
      </c>
      <c r="F40">
        <v>20</v>
      </c>
      <c r="G40">
        <f t="shared" si="0"/>
        <v>270</v>
      </c>
      <c r="H40">
        <f t="shared" si="1"/>
        <v>150</v>
      </c>
      <c r="I40">
        <f t="shared" si="2"/>
        <v>4</v>
      </c>
    </row>
    <row r="41" spans="1:9" x14ac:dyDescent="0.35">
      <c r="A41">
        <v>45404</v>
      </c>
      <c r="B41" t="s">
        <v>17</v>
      </c>
      <c r="C41" t="s">
        <v>7</v>
      </c>
      <c r="D41">
        <v>3</v>
      </c>
      <c r="E41">
        <v>160</v>
      </c>
      <c r="F41">
        <v>100</v>
      </c>
      <c r="G41">
        <f t="shared" si="0"/>
        <v>480</v>
      </c>
      <c r="H41">
        <f t="shared" si="1"/>
        <v>180</v>
      </c>
      <c r="I41">
        <f t="shared" si="2"/>
        <v>4</v>
      </c>
    </row>
    <row r="42" spans="1:9" x14ac:dyDescent="0.35">
      <c r="A42">
        <v>45414</v>
      </c>
      <c r="B42" t="s">
        <v>6</v>
      </c>
      <c r="C42" t="s">
        <v>7</v>
      </c>
      <c r="D42">
        <v>1</v>
      </c>
      <c r="E42">
        <v>820</v>
      </c>
      <c r="F42">
        <v>610</v>
      </c>
      <c r="G42">
        <f t="shared" si="0"/>
        <v>820</v>
      </c>
      <c r="H42">
        <f t="shared" si="1"/>
        <v>210</v>
      </c>
      <c r="I42">
        <f t="shared" si="2"/>
        <v>5</v>
      </c>
    </row>
    <row r="43" spans="1:9" x14ac:dyDescent="0.35">
      <c r="A43">
        <v>45417</v>
      </c>
      <c r="B43" t="s">
        <v>8</v>
      </c>
      <c r="C43" t="s">
        <v>7</v>
      </c>
      <c r="D43">
        <v>5</v>
      </c>
      <c r="E43">
        <v>520</v>
      </c>
      <c r="F43">
        <v>360</v>
      </c>
      <c r="G43">
        <f t="shared" si="0"/>
        <v>2600</v>
      </c>
      <c r="H43">
        <f t="shared" si="1"/>
        <v>800</v>
      </c>
      <c r="I43">
        <f t="shared" si="2"/>
        <v>5</v>
      </c>
    </row>
    <row r="44" spans="1:9" x14ac:dyDescent="0.35">
      <c r="A44">
        <v>45419</v>
      </c>
      <c r="B44" t="s">
        <v>9</v>
      </c>
      <c r="C44" t="s">
        <v>10</v>
      </c>
      <c r="D44">
        <v>2</v>
      </c>
      <c r="E44">
        <v>320</v>
      </c>
      <c r="F44">
        <v>210</v>
      </c>
      <c r="G44">
        <f t="shared" si="0"/>
        <v>640</v>
      </c>
      <c r="H44">
        <f t="shared" si="1"/>
        <v>220</v>
      </c>
      <c r="I44">
        <f t="shared" si="2"/>
        <v>5</v>
      </c>
    </row>
    <row r="45" spans="1:9" x14ac:dyDescent="0.35">
      <c r="A45">
        <v>45421</v>
      </c>
      <c r="B45" t="s">
        <v>12</v>
      </c>
      <c r="C45" t="s">
        <v>10</v>
      </c>
      <c r="D45">
        <v>1</v>
      </c>
      <c r="E45">
        <v>460</v>
      </c>
      <c r="F45">
        <v>310</v>
      </c>
      <c r="G45">
        <f t="shared" si="0"/>
        <v>460</v>
      </c>
      <c r="H45">
        <f t="shared" si="1"/>
        <v>150</v>
      </c>
      <c r="I45">
        <f t="shared" si="2"/>
        <v>5</v>
      </c>
    </row>
    <row r="46" spans="1:9" x14ac:dyDescent="0.35">
      <c r="A46">
        <v>45424</v>
      </c>
      <c r="B46" t="s">
        <v>13</v>
      </c>
      <c r="C46" t="s">
        <v>10</v>
      </c>
      <c r="D46">
        <v>3</v>
      </c>
      <c r="E46">
        <v>130</v>
      </c>
      <c r="F46">
        <v>75</v>
      </c>
      <c r="G46">
        <f t="shared" si="0"/>
        <v>390</v>
      </c>
      <c r="H46">
        <f t="shared" si="1"/>
        <v>165</v>
      </c>
      <c r="I46">
        <f t="shared" si="2"/>
        <v>5</v>
      </c>
    </row>
    <row r="47" spans="1:9" x14ac:dyDescent="0.35">
      <c r="A47">
        <v>45427</v>
      </c>
      <c r="B47" t="s">
        <v>11</v>
      </c>
      <c r="C47" t="s">
        <v>7</v>
      </c>
      <c r="D47">
        <v>4</v>
      </c>
      <c r="E47">
        <v>260</v>
      </c>
      <c r="F47">
        <v>190</v>
      </c>
      <c r="G47">
        <f t="shared" si="0"/>
        <v>1040</v>
      </c>
      <c r="H47">
        <f t="shared" si="1"/>
        <v>280</v>
      </c>
      <c r="I47">
        <f t="shared" si="2"/>
        <v>5</v>
      </c>
    </row>
    <row r="48" spans="1:9" x14ac:dyDescent="0.35">
      <c r="A48">
        <v>45430</v>
      </c>
      <c r="B48" t="s">
        <v>14</v>
      </c>
      <c r="C48" t="s">
        <v>7</v>
      </c>
      <c r="D48">
        <v>2</v>
      </c>
      <c r="E48">
        <v>420</v>
      </c>
      <c r="F48">
        <v>290</v>
      </c>
      <c r="G48">
        <f t="shared" si="0"/>
        <v>840</v>
      </c>
      <c r="H48">
        <f t="shared" si="1"/>
        <v>260</v>
      </c>
      <c r="I48">
        <f t="shared" si="2"/>
        <v>5</v>
      </c>
    </row>
    <row r="49" spans="1:9" x14ac:dyDescent="0.35">
      <c r="A49">
        <v>45432</v>
      </c>
      <c r="B49" t="s">
        <v>15</v>
      </c>
      <c r="C49" t="s">
        <v>7</v>
      </c>
      <c r="D49">
        <v>12</v>
      </c>
      <c r="E49">
        <v>30</v>
      </c>
      <c r="F49">
        <v>12</v>
      </c>
      <c r="G49">
        <f t="shared" si="0"/>
        <v>360</v>
      </c>
      <c r="H49">
        <f t="shared" si="1"/>
        <v>216</v>
      </c>
      <c r="I49">
        <f t="shared" si="2"/>
        <v>5</v>
      </c>
    </row>
    <row r="50" spans="1:9" x14ac:dyDescent="0.35">
      <c r="A50">
        <v>45434</v>
      </c>
      <c r="B50" t="s">
        <v>16</v>
      </c>
      <c r="C50" t="s">
        <v>7</v>
      </c>
      <c r="D50">
        <v>8</v>
      </c>
      <c r="E50">
        <v>45</v>
      </c>
      <c r="F50">
        <v>20</v>
      </c>
      <c r="G50">
        <f t="shared" si="0"/>
        <v>360</v>
      </c>
      <c r="H50">
        <f t="shared" si="1"/>
        <v>200</v>
      </c>
      <c r="I50">
        <f t="shared" si="2"/>
        <v>5</v>
      </c>
    </row>
    <row r="51" spans="1:9" x14ac:dyDescent="0.35">
      <c r="A51">
        <v>45437</v>
      </c>
      <c r="B51" t="s">
        <v>17</v>
      </c>
      <c r="C51" t="s">
        <v>7</v>
      </c>
      <c r="D51">
        <v>4</v>
      </c>
      <c r="E51">
        <v>160</v>
      </c>
      <c r="F51">
        <v>100</v>
      </c>
      <c r="G51">
        <f t="shared" si="0"/>
        <v>640</v>
      </c>
      <c r="H51">
        <f t="shared" si="1"/>
        <v>240</v>
      </c>
      <c r="I51">
        <f t="shared" si="2"/>
        <v>5</v>
      </c>
    </row>
    <row r="52" spans="1:9" x14ac:dyDescent="0.35">
      <c r="A52">
        <v>45445</v>
      </c>
      <c r="B52" t="s">
        <v>6</v>
      </c>
      <c r="C52" t="s">
        <v>7</v>
      </c>
      <c r="D52">
        <v>2</v>
      </c>
      <c r="E52">
        <v>830</v>
      </c>
      <c r="F52">
        <v>620</v>
      </c>
      <c r="G52">
        <f t="shared" si="0"/>
        <v>1660</v>
      </c>
      <c r="H52">
        <f t="shared" si="1"/>
        <v>420</v>
      </c>
      <c r="I52">
        <f t="shared" si="2"/>
        <v>6</v>
      </c>
    </row>
    <row r="53" spans="1:9" x14ac:dyDescent="0.35">
      <c r="A53">
        <v>45447</v>
      </c>
      <c r="B53" t="s">
        <v>8</v>
      </c>
      <c r="C53" t="s">
        <v>7</v>
      </c>
      <c r="D53">
        <v>4</v>
      </c>
      <c r="E53">
        <v>530</v>
      </c>
      <c r="F53">
        <v>370</v>
      </c>
      <c r="G53">
        <f t="shared" si="0"/>
        <v>2120</v>
      </c>
      <c r="H53">
        <f t="shared" si="1"/>
        <v>640</v>
      </c>
      <c r="I53">
        <f t="shared" si="2"/>
        <v>6</v>
      </c>
    </row>
    <row r="54" spans="1:9" x14ac:dyDescent="0.35">
      <c r="A54">
        <v>45450</v>
      </c>
      <c r="B54" t="s">
        <v>9</v>
      </c>
      <c r="C54" t="s">
        <v>10</v>
      </c>
      <c r="D54">
        <v>1</v>
      </c>
      <c r="E54">
        <v>330</v>
      </c>
      <c r="F54">
        <v>220</v>
      </c>
      <c r="G54">
        <f t="shared" si="0"/>
        <v>330</v>
      </c>
      <c r="H54">
        <f t="shared" si="1"/>
        <v>110</v>
      </c>
      <c r="I54">
        <f t="shared" si="2"/>
        <v>6</v>
      </c>
    </row>
    <row r="55" spans="1:9" x14ac:dyDescent="0.35">
      <c r="A55">
        <v>45453</v>
      </c>
      <c r="B55" t="s">
        <v>12</v>
      </c>
      <c r="C55" t="s">
        <v>10</v>
      </c>
      <c r="D55">
        <v>2</v>
      </c>
      <c r="E55">
        <v>470</v>
      </c>
      <c r="F55">
        <v>320</v>
      </c>
      <c r="G55">
        <f t="shared" si="0"/>
        <v>940</v>
      </c>
      <c r="H55">
        <f t="shared" si="1"/>
        <v>300</v>
      </c>
      <c r="I55">
        <f t="shared" si="2"/>
        <v>6</v>
      </c>
    </row>
    <row r="56" spans="1:9" x14ac:dyDescent="0.35">
      <c r="A56">
        <v>45455</v>
      </c>
      <c r="B56" t="s">
        <v>13</v>
      </c>
      <c r="C56" t="s">
        <v>10</v>
      </c>
      <c r="D56">
        <v>4</v>
      </c>
      <c r="E56">
        <v>135</v>
      </c>
      <c r="F56">
        <v>80</v>
      </c>
      <c r="G56">
        <f t="shared" si="0"/>
        <v>540</v>
      </c>
      <c r="H56">
        <f t="shared" si="1"/>
        <v>220</v>
      </c>
      <c r="I56">
        <f t="shared" si="2"/>
        <v>6</v>
      </c>
    </row>
    <row r="57" spans="1:9" x14ac:dyDescent="0.35">
      <c r="A57">
        <v>45458</v>
      </c>
      <c r="B57" t="s">
        <v>11</v>
      </c>
      <c r="C57" t="s">
        <v>7</v>
      </c>
      <c r="D57">
        <v>3</v>
      </c>
      <c r="E57">
        <v>270</v>
      </c>
      <c r="F57">
        <v>200</v>
      </c>
      <c r="G57">
        <f t="shared" si="0"/>
        <v>810</v>
      </c>
      <c r="H57">
        <f t="shared" si="1"/>
        <v>210</v>
      </c>
      <c r="I57">
        <f t="shared" si="2"/>
        <v>6</v>
      </c>
    </row>
    <row r="58" spans="1:9" x14ac:dyDescent="0.35">
      <c r="A58">
        <v>45461</v>
      </c>
      <c r="B58" t="s">
        <v>14</v>
      </c>
      <c r="C58" t="s">
        <v>7</v>
      </c>
      <c r="D58">
        <v>3</v>
      </c>
      <c r="E58">
        <v>430</v>
      </c>
      <c r="F58">
        <v>300</v>
      </c>
      <c r="G58">
        <f t="shared" si="0"/>
        <v>1290</v>
      </c>
      <c r="H58">
        <f t="shared" si="1"/>
        <v>390</v>
      </c>
      <c r="I58">
        <f t="shared" si="2"/>
        <v>6</v>
      </c>
    </row>
    <row r="59" spans="1:9" x14ac:dyDescent="0.35">
      <c r="A59">
        <v>45463</v>
      </c>
      <c r="B59" t="s">
        <v>15</v>
      </c>
      <c r="C59" t="s">
        <v>7</v>
      </c>
      <c r="D59">
        <v>11</v>
      </c>
      <c r="E59">
        <v>32</v>
      </c>
      <c r="F59">
        <v>14</v>
      </c>
      <c r="G59">
        <f t="shared" si="0"/>
        <v>352</v>
      </c>
      <c r="H59">
        <f t="shared" si="1"/>
        <v>198</v>
      </c>
      <c r="I59">
        <f t="shared" si="2"/>
        <v>6</v>
      </c>
    </row>
    <row r="60" spans="1:9" x14ac:dyDescent="0.35">
      <c r="A60">
        <v>45465</v>
      </c>
      <c r="B60" t="s">
        <v>16</v>
      </c>
      <c r="C60" t="s">
        <v>7</v>
      </c>
      <c r="D60">
        <v>9</v>
      </c>
      <c r="E60">
        <v>48</v>
      </c>
      <c r="F60">
        <v>22</v>
      </c>
      <c r="G60">
        <f t="shared" si="0"/>
        <v>432</v>
      </c>
      <c r="H60">
        <f t="shared" si="1"/>
        <v>234</v>
      </c>
      <c r="I60">
        <f t="shared" si="2"/>
        <v>6</v>
      </c>
    </row>
    <row r="61" spans="1:9" x14ac:dyDescent="0.35">
      <c r="A61">
        <v>45468</v>
      </c>
      <c r="B61" t="s">
        <v>17</v>
      </c>
      <c r="C61" t="s">
        <v>7</v>
      </c>
      <c r="D61">
        <v>3</v>
      </c>
      <c r="E61">
        <v>170</v>
      </c>
      <c r="F61">
        <v>105</v>
      </c>
      <c r="G61">
        <f t="shared" si="0"/>
        <v>510</v>
      </c>
      <c r="H61">
        <f t="shared" si="1"/>
        <v>195</v>
      </c>
      <c r="I61">
        <f t="shared" si="2"/>
        <v>6</v>
      </c>
    </row>
  </sheetData>
  <conditionalFormatting sqref="B1:C61 G1:I1">
    <cfRule type="dataBar" priority="2">
      <dataBar>
        <cfvo type="min"/>
        <cfvo type="max"/>
        <color rgb="FFD6007B"/>
      </dataBar>
      <extLst>
        <ext xmlns:x14="http://schemas.microsoft.com/office/spreadsheetml/2009/9/main" uri="{B025F937-C7B1-47D3-B67F-A62EFF666E3E}">
          <x14:id>{21E0E1E4-3247-442E-B1EC-0301F4D0887B}</x14:id>
        </ext>
      </extLst>
    </cfRule>
  </conditionalFormatting>
  <pageMargins left="0.7" right="0.7" top="0.75" bottom="0.75" header="0.3" footer="0.3"/>
  <pageSetup paperSize="9" orientation="portrait" horizontalDpi="0" verticalDpi="0" r:id="rId1"/>
  <headerFooter>
    <oddFooter>&amp;CPrepared by: Pacifique Fashaho
Tools: Excel | Data Analysis | Pivot Tables</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21E0E1E4-3247-442E-B1EC-0301F4D0887B}">
            <x14:dataBar minLength="0" maxLength="100" border="1" negativeBarBorderColorSameAsPositive="0">
              <x14:cfvo type="autoMin"/>
              <x14:cfvo type="autoMax"/>
              <x14:borderColor rgb="FFD6007B"/>
              <x14:negativeFillColor rgb="FFFF0000"/>
              <x14:negativeBorderColor rgb="FFFF0000"/>
              <x14:axisColor rgb="FF000000"/>
            </x14:dataBar>
          </x14:cfRule>
          <xm:sqref>B1:C61 G1:I1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A8150-A684-46ED-B1F1-7732A21C8BA2}">
  <dimension ref="A3:H10"/>
  <sheetViews>
    <sheetView zoomScaleNormal="100" workbookViewId="0">
      <selection activeCell="C13" sqref="C13"/>
    </sheetView>
  </sheetViews>
  <sheetFormatPr defaultRowHeight="14.5" x14ac:dyDescent="0.35"/>
  <cols>
    <col min="1" max="1" width="12.453125" bestFit="1" customWidth="1"/>
    <col min="2" max="2" width="14.36328125" bestFit="1" customWidth="1"/>
    <col min="3" max="3" width="15.36328125" bestFit="1" customWidth="1"/>
    <col min="4" max="4" width="14.36328125" bestFit="1" customWidth="1"/>
    <col min="7" max="7" width="13.36328125" style="5" customWidth="1"/>
  </cols>
  <sheetData>
    <row r="3" spans="1:8" x14ac:dyDescent="0.35">
      <c r="A3" s="2" t="s">
        <v>23</v>
      </c>
      <c r="B3" t="s">
        <v>22</v>
      </c>
      <c r="F3" s="4"/>
      <c r="G3" s="6"/>
    </row>
    <row r="4" spans="1:8" x14ac:dyDescent="0.35">
      <c r="A4" s="3">
        <v>1</v>
      </c>
      <c r="B4" s="1">
        <v>6680</v>
      </c>
    </row>
    <row r="5" spans="1:8" x14ac:dyDescent="0.35">
      <c r="A5" s="3">
        <v>2</v>
      </c>
      <c r="B5" s="1">
        <v>6650</v>
      </c>
    </row>
    <row r="6" spans="1:8" x14ac:dyDescent="0.35">
      <c r="A6" s="3">
        <v>3</v>
      </c>
      <c r="B6" s="1">
        <v>7830</v>
      </c>
    </row>
    <row r="7" spans="1:8" x14ac:dyDescent="0.35">
      <c r="A7" s="3">
        <v>4</v>
      </c>
      <c r="B7" s="1">
        <v>8020</v>
      </c>
    </row>
    <row r="8" spans="1:8" x14ac:dyDescent="0.35">
      <c r="A8" s="3">
        <v>5</v>
      </c>
      <c r="B8" s="1">
        <v>8150</v>
      </c>
    </row>
    <row r="9" spans="1:8" x14ac:dyDescent="0.35">
      <c r="A9" s="3">
        <v>6</v>
      </c>
      <c r="B9" s="1">
        <v>8984</v>
      </c>
    </row>
    <row r="10" spans="1:8" x14ac:dyDescent="0.35">
      <c r="A10" s="3" t="s">
        <v>24</v>
      </c>
      <c r="B10" s="1">
        <v>46314</v>
      </c>
      <c r="H10" s="4"/>
    </row>
  </sheetData>
  <pageMargins left="0.7" right="0.7" top="0.75" bottom="0.75" header="0.3" footer="0.3"/>
  <pageSetup paperSize="9" orientation="portrait" horizontalDpi="0" verticalDpi="0" r:id="rId2"/>
  <headerFooter>
    <oddFooter>&amp;CPrepared by: Pacifique Fashaho
Tools: Excel | Data Analysis | Pivot Tables</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BACEA-3302-4943-98B6-B5D913DAB56C}">
  <dimension ref="A3:B10"/>
  <sheetViews>
    <sheetView zoomScaleNormal="100" workbookViewId="0">
      <selection activeCell="C14" sqref="C14"/>
    </sheetView>
  </sheetViews>
  <sheetFormatPr defaultRowHeight="14.5" x14ac:dyDescent="0.35"/>
  <cols>
    <col min="1" max="1" width="12.453125" bestFit="1" customWidth="1"/>
    <col min="2" max="3" width="11.54296875" bestFit="1" customWidth="1"/>
  </cols>
  <sheetData>
    <row r="3" spans="1:2" x14ac:dyDescent="0.35">
      <c r="A3" s="2" t="s">
        <v>23</v>
      </c>
      <c r="B3" t="s">
        <v>21</v>
      </c>
    </row>
    <row r="4" spans="1:2" x14ac:dyDescent="0.35">
      <c r="A4" s="3">
        <v>1</v>
      </c>
      <c r="B4" s="1">
        <v>2110</v>
      </c>
    </row>
    <row r="5" spans="1:2" x14ac:dyDescent="0.35">
      <c r="A5" s="3">
        <v>2</v>
      </c>
      <c r="B5" s="1">
        <v>2167</v>
      </c>
    </row>
    <row r="6" spans="1:2" x14ac:dyDescent="0.35">
      <c r="A6" s="3">
        <v>3</v>
      </c>
      <c r="B6" s="1">
        <v>2484</v>
      </c>
    </row>
    <row r="7" spans="1:2" x14ac:dyDescent="0.35">
      <c r="A7" s="3">
        <v>4</v>
      </c>
      <c r="B7" s="1">
        <v>2622</v>
      </c>
    </row>
    <row r="8" spans="1:2" x14ac:dyDescent="0.35">
      <c r="A8" s="3">
        <v>5</v>
      </c>
      <c r="B8" s="1">
        <v>2741</v>
      </c>
    </row>
    <row r="9" spans="1:2" x14ac:dyDescent="0.35">
      <c r="A9" s="3">
        <v>6</v>
      </c>
      <c r="B9" s="1">
        <v>2917</v>
      </c>
    </row>
    <row r="10" spans="1:2" x14ac:dyDescent="0.35">
      <c r="A10" s="3" t="s">
        <v>24</v>
      </c>
      <c r="B10" s="1">
        <v>15041</v>
      </c>
    </row>
  </sheetData>
  <pageMargins left="0.7" right="0.7" top="0.75" bottom="0.75" header="0.3" footer="0.3"/>
  <pageSetup paperSize="9" orientation="portrait" horizontalDpi="0" verticalDpi="0" r:id="rId2"/>
  <headerFooter>
    <oddFooter>&amp;CPrepared by: Pacifique Fashaho
Tools: Excel | Data Analysis | Pivot Tables</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77853-493E-48A0-9131-67BD3BB76BC6}">
  <dimension ref="A3:B14"/>
  <sheetViews>
    <sheetView zoomScale="96" zoomScaleNormal="96" workbookViewId="0">
      <selection activeCell="D17" sqref="D17"/>
    </sheetView>
  </sheetViews>
  <sheetFormatPr defaultRowHeight="14.5" x14ac:dyDescent="0.35"/>
  <cols>
    <col min="1" max="1" width="12.6328125" bestFit="1" customWidth="1"/>
    <col min="2" max="2" width="14.26953125" bestFit="1" customWidth="1"/>
  </cols>
  <sheetData>
    <row r="3" spans="1:2" x14ac:dyDescent="0.35">
      <c r="A3" s="2" t="s">
        <v>23</v>
      </c>
      <c r="B3" t="s">
        <v>25</v>
      </c>
    </row>
    <row r="4" spans="1:2" x14ac:dyDescent="0.35">
      <c r="A4" s="3" t="s">
        <v>9</v>
      </c>
      <c r="B4" s="1">
        <v>8</v>
      </c>
    </row>
    <row r="5" spans="1:2" x14ac:dyDescent="0.35">
      <c r="A5" s="3" t="s">
        <v>12</v>
      </c>
      <c r="B5" s="1">
        <v>9</v>
      </c>
    </row>
    <row r="6" spans="1:2" x14ac:dyDescent="0.35">
      <c r="A6" s="3" t="s">
        <v>6</v>
      </c>
      <c r="B6" s="1">
        <v>11</v>
      </c>
    </row>
    <row r="7" spans="1:2" x14ac:dyDescent="0.35">
      <c r="A7" s="3" t="s">
        <v>14</v>
      </c>
      <c r="B7" s="1">
        <v>15</v>
      </c>
    </row>
    <row r="8" spans="1:2" x14ac:dyDescent="0.35">
      <c r="A8" s="3" t="s">
        <v>17</v>
      </c>
      <c r="B8" s="1">
        <v>17</v>
      </c>
    </row>
    <row r="9" spans="1:2" x14ac:dyDescent="0.35">
      <c r="A9" s="3" t="s">
        <v>11</v>
      </c>
      <c r="B9" s="1">
        <v>19</v>
      </c>
    </row>
    <row r="10" spans="1:2" x14ac:dyDescent="0.35">
      <c r="A10" s="3" t="s">
        <v>8</v>
      </c>
      <c r="B10" s="1">
        <v>21</v>
      </c>
    </row>
    <row r="11" spans="1:2" x14ac:dyDescent="0.35">
      <c r="A11" s="3" t="s">
        <v>13</v>
      </c>
      <c r="B11" s="1">
        <v>23</v>
      </c>
    </row>
    <row r="12" spans="1:2" x14ac:dyDescent="0.35">
      <c r="A12" s="3" t="s">
        <v>16</v>
      </c>
      <c r="B12" s="1">
        <v>41</v>
      </c>
    </row>
    <row r="13" spans="1:2" x14ac:dyDescent="0.35">
      <c r="A13" s="3" t="s">
        <v>15</v>
      </c>
      <c r="B13" s="1">
        <v>56</v>
      </c>
    </row>
    <row r="14" spans="1:2" x14ac:dyDescent="0.35">
      <c r="A14" s="3" t="s">
        <v>24</v>
      </c>
      <c r="B14" s="1">
        <v>220</v>
      </c>
    </row>
  </sheetData>
  <pageMargins left="0.7" right="0.7" top="0.75" bottom="0.75" header="0.3" footer="0.3"/>
  <pageSetup paperSize="9" orientation="portrait" horizontalDpi="0" verticalDpi="0" r:id="rId2"/>
  <headerFooter>
    <oddFooter>&amp;CPrepared by: Pacifique Fashaho
Tools: Excel | Data Analysis | Pivot Tables</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C1975-0E7A-4167-8740-3EE50DB7FB0A}">
  <dimension ref="A1"/>
  <sheetViews>
    <sheetView showGridLines="0" topLeftCell="A32" zoomScale="55" zoomScaleNormal="55" zoomScalePageLayoutView="70" workbookViewId="0">
      <selection activeCell="Y66" sqref="Y66"/>
    </sheetView>
  </sheetViews>
  <sheetFormatPr defaultRowHeight="14.5" x14ac:dyDescent="0.35"/>
  <sheetData/>
  <pageMargins left="0.7" right="0.7" top="0.75" bottom="0.75" header="0.3" footer="0.3"/>
  <pageSetup paperSize="9" orientation="portrait" horizontalDpi="0" verticalDpi="0" r:id="rId1"/>
  <headerFooter>
    <oddFooter>&amp;CPrepared by: Pacifique Fashaho
Tools: Excel | Data Analysis | Pivot Tables</oddFooter>
  </headerFooter>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sales_data</vt:lpstr>
      <vt:lpstr>Monthly Revenue</vt:lpstr>
      <vt:lpstr>Monthly Profit</vt:lpstr>
      <vt:lpstr>Top Products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Pacifique</dc:creator>
  <cp:lastModifiedBy>Pacifique Fashaho</cp:lastModifiedBy>
  <dcterms:created xsi:type="dcterms:W3CDTF">2026-02-23T16:07:48Z</dcterms:created>
  <dcterms:modified xsi:type="dcterms:W3CDTF">2026-02-23T16:07:48Z</dcterms:modified>
</cp:coreProperties>
</file>